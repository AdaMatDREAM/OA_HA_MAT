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adma24ac_student_cbs_dk/Documents/Skrivebord/Operationsanalyse/Eksamen/OA_HA_MAT/"/>
    </mc:Choice>
  </mc:AlternateContent>
  <xr:revisionPtr revIDLastSave="474" documentId="11_AD4D1D646341095ACB7000FE0597FE22683EDF0E" xr6:coauthVersionLast="47" xr6:coauthVersionMax="47" xr10:uidLastSave="{3105C7A5-07AC-4927-A496-87DACB0DBF1C}"/>
  <bookViews>
    <workbookView xWindow="-110" yWindow="-110" windowWidth="19420" windowHeight="11500" activeTab="2" xr2:uid="{00000000-000D-0000-FFFF-FFFF00000000}"/>
  </bookViews>
  <sheets>
    <sheet name="Ark1" sheetId="1" r:id="rId1"/>
    <sheet name="Shortest path" sheetId="2" r:id="rId2"/>
    <sheet name="Lagertoe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G5" i="3" s="1"/>
  <c r="I5" i="3"/>
  <c r="M5" i="3" s="1"/>
  <c r="J5" i="3"/>
  <c r="K5" i="3"/>
  <c r="L5" i="3"/>
  <c r="G6" i="3"/>
  <c r="H6" i="3"/>
  <c r="I6" i="3"/>
  <c r="J6" i="3"/>
  <c r="K6" i="3"/>
  <c r="M6" i="3" s="1"/>
  <c r="L6" i="3"/>
  <c r="G7" i="3"/>
  <c r="H7" i="3"/>
  <c r="I7" i="3"/>
  <c r="J7" i="3"/>
  <c r="K7" i="3"/>
  <c r="L7" i="3"/>
  <c r="M7" i="3"/>
  <c r="G8" i="3"/>
  <c r="H8" i="3"/>
  <c r="I8" i="3"/>
  <c r="J8" i="3"/>
  <c r="K8" i="3"/>
  <c r="L8" i="3"/>
  <c r="M8" i="3"/>
  <c r="H9" i="3"/>
  <c r="G9" i="3" s="1"/>
  <c r="J9" i="3"/>
  <c r="K9" i="3"/>
  <c r="L9" i="3"/>
  <c r="H14" i="3"/>
  <c r="I14" i="3" s="1"/>
  <c r="J14" i="3"/>
  <c r="K14" i="3"/>
  <c r="L14" i="3"/>
  <c r="H15" i="3"/>
  <c r="G15" i="3" s="1"/>
  <c r="G27" i="3" s="1"/>
  <c r="I15" i="3"/>
  <c r="J15" i="3"/>
  <c r="K15" i="3"/>
  <c r="L15" i="3"/>
  <c r="H16" i="3"/>
  <c r="G16" i="3" s="1"/>
  <c r="G28" i="3" s="1"/>
  <c r="I16" i="3"/>
  <c r="J16" i="3"/>
  <c r="K16" i="3"/>
  <c r="L16" i="3"/>
  <c r="H17" i="3"/>
  <c r="G17" i="3" s="1"/>
  <c r="G29" i="3" s="1"/>
  <c r="I17" i="3"/>
  <c r="J17" i="3"/>
  <c r="K17" i="3"/>
  <c r="L17" i="3"/>
  <c r="H18" i="3"/>
  <c r="G18" i="3" s="1"/>
  <c r="G30" i="3" s="1"/>
  <c r="I18" i="3"/>
  <c r="J18" i="3"/>
  <c r="K18" i="3"/>
  <c r="L18" i="3"/>
  <c r="H19" i="3"/>
  <c r="G19" i="3" s="1"/>
  <c r="G31" i="3" s="1"/>
  <c r="I19" i="3"/>
  <c r="J19" i="3"/>
  <c r="K19" i="3"/>
  <c r="L19" i="3"/>
  <c r="H20" i="3"/>
  <c r="G20" i="3" s="1"/>
  <c r="G32" i="3" s="1"/>
  <c r="I20" i="3"/>
  <c r="J20" i="3"/>
  <c r="K20" i="3"/>
  <c r="L20" i="3"/>
  <c r="G21" i="3"/>
  <c r="G33" i="3" s="1"/>
  <c r="H21" i="3"/>
  <c r="I21" i="3" s="1"/>
  <c r="J21" i="3"/>
  <c r="K21" i="3"/>
  <c r="L21" i="3"/>
  <c r="H26" i="3"/>
  <c r="G26" i="3" s="1"/>
  <c r="I26" i="3"/>
  <c r="J26" i="3"/>
  <c r="K26" i="3"/>
  <c r="L26" i="3"/>
  <c r="H27" i="3"/>
  <c r="I27" i="3"/>
  <c r="J27" i="3"/>
  <c r="K27" i="3"/>
  <c r="L27" i="3"/>
  <c r="H28" i="3"/>
  <c r="I28" i="3"/>
  <c r="J28" i="3"/>
  <c r="K28" i="3"/>
  <c r="L28" i="3"/>
  <c r="H29" i="3"/>
  <c r="I29" i="3"/>
  <c r="J29" i="3"/>
  <c r="K29" i="3"/>
  <c r="L29" i="3"/>
  <c r="H30" i="3"/>
  <c r="I30" i="3"/>
  <c r="J30" i="3"/>
  <c r="K30" i="3"/>
  <c r="L30" i="3"/>
  <c r="H31" i="3"/>
  <c r="I31" i="3"/>
  <c r="J31" i="3"/>
  <c r="K31" i="3"/>
  <c r="L31" i="3"/>
  <c r="H32" i="3"/>
  <c r="I32" i="3"/>
  <c r="J32" i="3"/>
  <c r="K32" i="3"/>
  <c r="L32" i="3"/>
  <c r="H33" i="3"/>
  <c r="I33" i="3"/>
  <c r="J33" i="3"/>
  <c r="K33" i="3"/>
  <c r="L33" i="3"/>
  <c r="G34" i="3"/>
  <c r="H34" i="3"/>
  <c r="I34" i="3" s="1"/>
  <c r="J34" i="3"/>
  <c r="K34" i="3"/>
  <c r="L34" i="3"/>
  <c r="H39" i="3"/>
  <c r="G39" i="3" s="1"/>
  <c r="I39" i="3"/>
  <c r="J39" i="3"/>
  <c r="K39" i="3"/>
  <c r="L39" i="3"/>
  <c r="H40" i="3"/>
  <c r="G40" i="3" s="1"/>
  <c r="I40" i="3"/>
  <c r="J40" i="3"/>
  <c r="K40" i="3"/>
  <c r="L40" i="3"/>
  <c r="H41" i="3"/>
  <c r="G41" i="3" s="1"/>
  <c r="I41" i="3"/>
  <c r="J41" i="3"/>
  <c r="K41" i="3"/>
  <c r="L41" i="3"/>
  <c r="H42" i="3"/>
  <c r="G42" i="3" s="1"/>
  <c r="I42" i="3"/>
  <c r="J42" i="3"/>
  <c r="K42" i="3"/>
  <c r="L42" i="3"/>
  <c r="H43" i="3"/>
  <c r="G43" i="3" s="1"/>
  <c r="I43" i="3"/>
  <c r="J43" i="3"/>
  <c r="K43" i="3"/>
  <c r="L43" i="3"/>
  <c r="H44" i="3"/>
  <c r="G44" i="3" s="1"/>
  <c r="I44" i="3"/>
  <c r="J44" i="3"/>
  <c r="K44" i="3"/>
  <c r="L44" i="3"/>
  <c r="G45" i="3"/>
  <c r="H45" i="3"/>
  <c r="I45" i="3" s="1"/>
  <c r="J45" i="3"/>
  <c r="K45" i="3"/>
  <c r="L45" i="3"/>
  <c r="H46" i="3"/>
  <c r="G46" i="3" s="1"/>
  <c r="I46" i="3"/>
  <c r="J46" i="3"/>
  <c r="K46" i="3"/>
  <c r="L46" i="3"/>
  <c r="H47" i="3"/>
  <c r="G47" i="3" s="1"/>
  <c r="I47" i="3"/>
  <c r="J47" i="3"/>
  <c r="K47" i="3"/>
  <c r="L47" i="3"/>
  <c r="J19" i="2"/>
  <c r="J23" i="2"/>
  <c r="I23" i="2"/>
  <c r="M18" i="2"/>
  <c r="M19" i="2"/>
  <c r="K23" i="2" s="1"/>
  <c r="M23" i="2" s="1"/>
  <c r="M17" i="2"/>
  <c r="K19" i="2"/>
  <c r="K18" i="2"/>
  <c r="K17" i="2"/>
  <c r="J17" i="2"/>
  <c r="L12" i="2"/>
  <c r="L13" i="2"/>
  <c r="L11" i="2"/>
  <c r="J18" i="2"/>
  <c r="I19" i="2"/>
  <c r="I18" i="2"/>
  <c r="I17" i="2"/>
  <c r="J11" i="2"/>
  <c r="J12" i="2"/>
  <c r="J13" i="2"/>
  <c r="I11" i="2"/>
  <c r="I12" i="2"/>
  <c r="I13" i="2"/>
  <c r="D4" i="1"/>
  <c r="D5" i="1"/>
  <c r="D6" i="1"/>
  <c r="D7" i="1"/>
  <c r="D8" i="1"/>
  <c r="D9" i="1"/>
  <c r="D10" i="1"/>
  <c r="D11" i="1"/>
  <c r="D12" i="1"/>
  <c r="D3" i="1"/>
  <c r="M14" i="3" l="1"/>
  <c r="M16" i="3"/>
  <c r="M18" i="3"/>
  <c r="M19" i="3"/>
  <c r="M15" i="3"/>
  <c r="M47" i="3" s="1"/>
  <c r="M20" i="3"/>
  <c r="M17" i="3"/>
  <c r="M21" i="3"/>
  <c r="M45" i="3" s="1"/>
  <c r="I9" i="3"/>
  <c r="M9" i="3" s="1"/>
  <c r="G14" i="3"/>
  <c r="M29" i="3" l="1"/>
  <c r="M40" i="3"/>
  <c r="M31" i="3"/>
  <c r="M32" i="3"/>
  <c r="M30" i="3"/>
  <c r="M43" i="3"/>
  <c r="M28" i="3"/>
  <c r="M39" i="3"/>
  <c r="M26" i="3"/>
  <c r="M46" i="3"/>
  <c r="M33" i="3"/>
  <c r="M44" i="3"/>
  <c r="M27" i="3"/>
  <c r="M34" i="3"/>
  <c r="M42" i="3"/>
  <c r="M41" i="3"/>
</calcChain>
</file>

<file path=xl/sharedStrings.xml><?xml version="1.0" encoding="utf-8"?>
<sst xmlns="http://schemas.openxmlformats.org/spreadsheetml/2006/main" count="96" uniqueCount="57">
  <si>
    <t>Længde i</t>
  </si>
  <si>
    <t>pris i</t>
  </si>
  <si>
    <t>pris/længde</t>
  </si>
  <si>
    <t>Stage 9</t>
  </si>
  <si>
    <t>stage i</t>
  </si>
  <si>
    <t>A</t>
  </si>
  <si>
    <t>Stage 4</t>
  </si>
  <si>
    <t>H</t>
  </si>
  <si>
    <t>I</t>
  </si>
  <si>
    <t>J</t>
  </si>
  <si>
    <t>Stage 3</t>
  </si>
  <si>
    <t>E</t>
  </si>
  <si>
    <t>F</t>
  </si>
  <si>
    <t>G</t>
  </si>
  <si>
    <t>Fra/til</t>
  </si>
  <si>
    <t xml:space="preserve">Omkostninger i midten af tabellerne </t>
  </si>
  <si>
    <t>Stage 2</t>
  </si>
  <si>
    <t>B</t>
  </si>
  <si>
    <t>C</t>
  </si>
  <si>
    <t>D</t>
  </si>
  <si>
    <t>min</t>
  </si>
  <si>
    <t>Stage 1</t>
  </si>
  <si>
    <t>Optimale ruter</t>
  </si>
  <si>
    <t>Nr 1</t>
  </si>
  <si>
    <t>Nr 2</t>
  </si>
  <si>
    <t>A -&gt; C -&gt; E -&gt; H -&gt; J</t>
  </si>
  <si>
    <t>A -&gt; D -&gt; E -&gt; H -&gt; J</t>
  </si>
  <si>
    <t>Nr 3</t>
  </si>
  <si>
    <t>A -&gt; D -&gt; F -&gt; I  -&gt; J</t>
  </si>
  <si>
    <t>Produktionsomkostninger pr. enhed produceret</t>
  </si>
  <si>
    <t>Salgspris pr. enhed</t>
  </si>
  <si>
    <t>Opstartsomkostninger pr. season</t>
  </si>
  <si>
    <t>Informationsoversigt for enheder</t>
  </si>
  <si>
    <t>Antal enheder som skal produceres af gangen</t>
  </si>
  <si>
    <t>Værdi forringelse pr. enhed mellem hver season</t>
  </si>
  <si>
    <t xml:space="preserve">Maksimal lagerplads </t>
  </si>
  <si>
    <t>Forventet efterspørgsel</t>
  </si>
  <si>
    <t>Season</t>
  </si>
  <si>
    <t>Man vil maksimerer indtægter</t>
  </si>
  <si>
    <t>Season 4</t>
  </si>
  <si>
    <t>Produceret</t>
  </si>
  <si>
    <t>Profit</t>
  </si>
  <si>
    <t>Demand</t>
  </si>
  <si>
    <t>Variable omkostninger</t>
  </si>
  <si>
    <t>Lager omkostninger</t>
  </si>
  <si>
    <t>Indtægter</t>
  </si>
  <si>
    <t>Fasteomkostninger</t>
  </si>
  <si>
    <t>Maks profit forekommer ved intet at producerer i sidste periode</t>
  </si>
  <si>
    <t>Lager forrige periode</t>
  </si>
  <si>
    <t>Lager til næste periode</t>
  </si>
  <si>
    <t>Lager fra forrige periode</t>
  </si>
  <si>
    <t>Dermed skal de være 400 på lager fra forrige periode</t>
  </si>
  <si>
    <t>Maks profit forekommer ved intet at producerer i denne periode</t>
  </si>
  <si>
    <t>Dermed skal der være 300 på lager, fra forrige periode</t>
  </si>
  <si>
    <t>Season 3</t>
  </si>
  <si>
    <t>Season 2</t>
  </si>
  <si>
    <t>Season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</si>
</sst>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r.&quot;_-;\-* #,##0.00\ &quot;kr.&quot;_-;_-* &quot;-&quot;??\ &quot;kr.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0" xfId="0" applyFill="1"/>
    <xf numFmtId="44" fontId="0" fillId="0" borderId="0" xfId="1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44" fontId="0" fillId="0" borderId="0" xfId="0" applyNumberFormat="1" applyBorder="1"/>
    <xf numFmtId="44" fontId="0" fillId="0" borderId="0" xfId="1" applyFont="1" applyBorder="1"/>
    <xf numFmtId="44" fontId="0" fillId="0" borderId="4" xfId="1" applyFont="1" applyBorder="1"/>
    <xf numFmtId="44" fontId="0" fillId="0" borderId="8" xfId="0" applyNumberFormat="1" applyBorder="1"/>
    <xf numFmtId="44" fontId="0" fillId="0" borderId="8" xfId="1" applyFont="1" applyBorder="1"/>
    <xf numFmtId="44" fontId="0" fillId="0" borderId="6" xfId="1" applyFont="1" applyBorder="1"/>
    <xf numFmtId="0" fontId="2" fillId="0" borderId="9" xfId="0" applyFont="1" applyBorder="1"/>
    <xf numFmtId="44" fontId="0" fillId="0" borderId="10" xfId="1" applyFont="1" applyBorder="1"/>
    <xf numFmtId="44" fontId="0" fillId="0" borderId="11" xfId="1" applyFont="1" applyBorder="1"/>
    <xf numFmtId="0" fontId="0" fillId="0" borderId="0" xfId="0" applyBorder="1"/>
    <xf numFmtId="0" fontId="0" fillId="0" borderId="8" xfId="0" applyBorder="1"/>
    <xf numFmtId="0" fontId="2" fillId="0" borderId="12" xfId="0" applyFont="1" applyBorder="1"/>
    <xf numFmtId="0" fontId="2" fillId="0" borderId="13" xfId="0" applyFont="1" applyBorder="1"/>
    <xf numFmtId="0" fontId="0" fillId="0" borderId="14" xfId="0" applyBorder="1"/>
    <xf numFmtId="0" fontId="2" fillId="0" borderId="14" xfId="0" applyFont="1" applyBorder="1"/>
    <xf numFmtId="0" fontId="0" fillId="0" borderId="3" xfId="0" applyFill="1" applyBorder="1"/>
    <xf numFmtId="0" fontId="0" fillId="0" borderId="0" xfId="0" applyFill="1" applyBorder="1"/>
    <xf numFmtId="0" fontId="0" fillId="0" borderId="12" xfId="0" applyBorder="1"/>
    <xf numFmtId="44" fontId="0" fillId="0" borderId="13" xfId="0" applyNumberFormat="1" applyBorder="1"/>
    <xf numFmtId="44" fontId="0" fillId="0" borderId="13" xfId="1" applyFont="1" applyBorder="1"/>
    <xf numFmtId="44" fontId="0" fillId="0" borderId="14" xfId="1" applyFont="1" applyBorder="1"/>
    <xf numFmtId="0" fontId="2" fillId="0" borderId="15" xfId="0" applyFont="1" applyBorder="1"/>
    <xf numFmtId="44" fontId="0" fillId="0" borderId="15" xfId="1" applyFont="1" applyBorder="1"/>
    <xf numFmtId="0" fontId="0" fillId="0" borderId="13" xfId="0" applyBorder="1"/>
    <xf numFmtId="0" fontId="0" fillId="0" borderId="5" xfId="0" applyFill="1" applyBorder="1"/>
    <xf numFmtId="0" fontId="0" fillId="0" borderId="8" xfId="0" applyFill="1" applyBorder="1"/>
    <xf numFmtId="44" fontId="0" fillId="3" borderId="1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25401</xdr:rowOff>
    </xdr:from>
    <xdr:to>
      <xdr:col>6</xdr:col>
      <xdr:colOff>73037</xdr:colOff>
      <xdr:row>12</xdr:row>
      <xdr:rowOff>50801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57662-675B-606A-284D-0F11FB905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5401"/>
          <a:ext cx="3730636" cy="223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6"/>
  <sheetViews>
    <sheetView workbookViewId="0">
      <selection activeCell="C4" sqref="C4"/>
    </sheetView>
  </sheetViews>
  <sheetFormatPr defaultRowHeight="14.5" x14ac:dyDescent="0.35"/>
  <cols>
    <col min="4" max="4" width="11.36328125" bestFit="1" customWidth="1"/>
    <col min="8" max="8" width="10.7265625" bestFit="1" customWidth="1"/>
  </cols>
  <sheetData>
    <row r="1" spans="2:4" x14ac:dyDescent="0.35">
      <c r="B1" t="s">
        <v>4</v>
      </c>
    </row>
    <row r="2" spans="2:4" x14ac:dyDescent="0.35">
      <c r="B2" t="s">
        <v>0</v>
      </c>
      <c r="C2" t="s">
        <v>1</v>
      </c>
      <c r="D2" t="s">
        <v>2</v>
      </c>
    </row>
    <row r="3" spans="2:4" x14ac:dyDescent="0.35">
      <c r="B3">
        <v>1</v>
      </c>
      <c r="C3">
        <v>1</v>
      </c>
      <c r="D3" s="1">
        <f>C3/B3</f>
        <v>1</v>
      </c>
    </row>
    <row r="4" spans="2:4" x14ac:dyDescent="0.35">
      <c r="B4">
        <v>2</v>
      </c>
      <c r="C4">
        <v>5</v>
      </c>
      <c r="D4" s="1">
        <f t="shared" ref="D4:D12" si="0">C4/B4</f>
        <v>2.5</v>
      </c>
    </row>
    <row r="5" spans="2:4" x14ac:dyDescent="0.35">
      <c r="B5">
        <v>3</v>
      </c>
      <c r="C5">
        <v>8</v>
      </c>
      <c r="D5" s="1">
        <f t="shared" si="0"/>
        <v>2.6666666666666665</v>
      </c>
    </row>
    <row r="6" spans="2:4" x14ac:dyDescent="0.35">
      <c r="B6">
        <v>4</v>
      </c>
      <c r="C6">
        <v>9</v>
      </c>
      <c r="D6" s="1">
        <f t="shared" si="0"/>
        <v>2.25</v>
      </c>
    </row>
    <row r="7" spans="2:4" x14ac:dyDescent="0.35">
      <c r="B7">
        <v>5</v>
      </c>
      <c r="C7">
        <v>10</v>
      </c>
      <c r="D7" s="1">
        <f t="shared" si="0"/>
        <v>2</v>
      </c>
    </row>
    <row r="8" spans="2:4" x14ac:dyDescent="0.35">
      <c r="B8">
        <v>6</v>
      </c>
      <c r="C8">
        <v>17</v>
      </c>
      <c r="D8" s="1">
        <f t="shared" si="0"/>
        <v>2.8333333333333335</v>
      </c>
    </row>
    <row r="9" spans="2:4" x14ac:dyDescent="0.35">
      <c r="B9">
        <v>7</v>
      </c>
      <c r="C9">
        <v>17</v>
      </c>
      <c r="D9" s="1">
        <f t="shared" si="0"/>
        <v>2.4285714285714284</v>
      </c>
    </row>
    <row r="10" spans="2:4" x14ac:dyDescent="0.35">
      <c r="B10">
        <v>8</v>
      </c>
      <c r="C10">
        <v>20</v>
      </c>
      <c r="D10" s="1">
        <f t="shared" si="0"/>
        <v>2.5</v>
      </c>
    </row>
    <row r="11" spans="2:4" x14ac:dyDescent="0.35">
      <c r="B11">
        <v>9</v>
      </c>
      <c r="C11">
        <v>24</v>
      </c>
      <c r="D11" s="1">
        <f t="shared" si="0"/>
        <v>2.6666666666666665</v>
      </c>
    </row>
    <row r="12" spans="2:4" x14ac:dyDescent="0.35">
      <c r="B12">
        <v>10</v>
      </c>
      <c r="C12">
        <v>30</v>
      </c>
      <c r="D12" s="1">
        <f t="shared" si="0"/>
        <v>3</v>
      </c>
    </row>
    <row r="16" spans="2:4" x14ac:dyDescent="0.35">
      <c r="C1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9DD3-F71C-4000-B605-A7F8AA9644D9}">
  <dimension ref="H3:P28"/>
  <sheetViews>
    <sheetView topLeftCell="A2" zoomScale="86" workbookViewId="0">
      <selection activeCell="N11" sqref="N11"/>
    </sheetView>
  </sheetViews>
  <sheetFormatPr defaultRowHeight="14.5" x14ac:dyDescent="0.35"/>
  <cols>
    <col min="8" max="8" width="13.1796875" bestFit="1" customWidth="1"/>
    <col min="10" max="10" width="10.81640625" bestFit="1" customWidth="1"/>
  </cols>
  <sheetData>
    <row r="3" spans="8:16" x14ac:dyDescent="0.35">
      <c r="H3" s="3" t="s">
        <v>6</v>
      </c>
      <c r="I3" s="3" t="s">
        <v>15</v>
      </c>
      <c r="J3" s="3"/>
      <c r="K3" s="3"/>
      <c r="L3" s="3"/>
      <c r="M3" s="3"/>
    </row>
    <row r="4" spans="8:16" x14ac:dyDescent="0.35">
      <c r="H4" s="3" t="s">
        <v>14</v>
      </c>
      <c r="I4" s="3" t="s">
        <v>9</v>
      </c>
      <c r="J4" s="3"/>
      <c r="K4" s="3"/>
      <c r="L4" s="3"/>
      <c r="M4" s="3"/>
      <c r="P4" s="2"/>
    </row>
    <row r="5" spans="8:16" x14ac:dyDescent="0.35">
      <c r="H5" s="3" t="s">
        <v>7</v>
      </c>
      <c r="I5" s="3">
        <v>3</v>
      </c>
      <c r="J5" s="3"/>
      <c r="K5" s="3"/>
      <c r="L5" s="3"/>
      <c r="M5" s="3"/>
      <c r="P5" s="2"/>
    </row>
    <row r="6" spans="8:16" x14ac:dyDescent="0.35">
      <c r="H6" s="3" t="s">
        <v>8</v>
      </c>
      <c r="I6" s="3">
        <v>4</v>
      </c>
      <c r="J6" s="3"/>
      <c r="K6" s="3"/>
      <c r="L6" s="3"/>
      <c r="M6" s="3"/>
      <c r="P6" s="2"/>
    </row>
    <row r="7" spans="8:16" x14ac:dyDescent="0.35">
      <c r="H7" s="3"/>
      <c r="I7" s="3"/>
      <c r="J7" s="3"/>
      <c r="K7" s="3"/>
      <c r="L7" s="3"/>
      <c r="M7" s="3"/>
      <c r="P7" s="2"/>
    </row>
    <row r="8" spans="8:16" x14ac:dyDescent="0.35">
      <c r="H8" s="3"/>
      <c r="I8" s="3"/>
      <c r="J8" s="3"/>
      <c r="K8" s="3"/>
      <c r="L8" s="3"/>
      <c r="M8" s="3"/>
      <c r="P8" s="2"/>
    </row>
    <row r="9" spans="8:16" x14ac:dyDescent="0.35">
      <c r="H9" s="3" t="s">
        <v>10</v>
      </c>
      <c r="I9" s="3"/>
      <c r="J9" s="3"/>
      <c r="K9" s="3"/>
      <c r="L9" s="3"/>
      <c r="M9" s="3"/>
      <c r="P9" s="2"/>
    </row>
    <row r="10" spans="8:16" x14ac:dyDescent="0.35">
      <c r="H10" s="3" t="s">
        <v>14</v>
      </c>
      <c r="I10" s="3" t="s">
        <v>7</v>
      </c>
      <c r="J10" s="3" t="s">
        <v>8</v>
      </c>
      <c r="K10" s="3"/>
      <c r="L10" s="3" t="s">
        <v>20</v>
      </c>
      <c r="M10" s="3"/>
      <c r="P10" s="2"/>
    </row>
    <row r="11" spans="8:16" x14ac:dyDescent="0.35">
      <c r="H11" s="3" t="s">
        <v>11</v>
      </c>
      <c r="I11" s="3">
        <f>1+I5</f>
        <v>4</v>
      </c>
      <c r="J11" s="3">
        <f>4+I6</f>
        <v>8</v>
      </c>
      <c r="K11" s="3"/>
      <c r="L11" s="3">
        <f>MIN(I11:J11)</f>
        <v>4</v>
      </c>
      <c r="M11" s="3"/>
      <c r="P11" s="2"/>
    </row>
    <row r="12" spans="8:16" x14ac:dyDescent="0.35">
      <c r="H12" s="3" t="s">
        <v>12</v>
      </c>
      <c r="I12" s="3">
        <f>6+I5</f>
        <v>9</v>
      </c>
      <c r="J12" s="3">
        <f>3+I6</f>
        <v>7</v>
      </c>
      <c r="K12" s="3"/>
      <c r="L12" s="3">
        <f t="shared" ref="L12:L13" si="0">MIN(I12:J12)</f>
        <v>7</v>
      </c>
      <c r="M12" s="3"/>
      <c r="P12" s="2"/>
    </row>
    <row r="13" spans="8:16" x14ac:dyDescent="0.35">
      <c r="H13" s="3" t="s">
        <v>13</v>
      </c>
      <c r="I13" s="3">
        <f>3+I5</f>
        <v>6</v>
      </c>
      <c r="J13" s="3">
        <f>3+I6</f>
        <v>7</v>
      </c>
      <c r="K13" s="3"/>
      <c r="L13" s="3">
        <f t="shared" si="0"/>
        <v>6</v>
      </c>
      <c r="M13" s="3"/>
      <c r="P13" s="2"/>
    </row>
    <row r="14" spans="8:16" x14ac:dyDescent="0.35">
      <c r="H14" s="3"/>
      <c r="I14" s="3"/>
      <c r="J14" s="3"/>
      <c r="K14" s="3"/>
      <c r="L14" s="3"/>
      <c r="M14" s="3"/>
      <c r="P14" s="2"/>
    </row>
    <row r="15" spans="8:16" x14ac:dyDescent="0.35">
      <c r="H15" s="3" t="s">
        <v>16</v>
      </c>
      <c r="I15" s="3"/>
      <c r="J15" s="3"/>
      <c r="K15" s="3"/>
      <c r="L15" s="3"/>
      <c r="M15" s="3"/>
    </row>
    <row r="16" spans="8:16" x14ac:dyDescent="0.35">
      <c r="H16" s="3" t="s">
        <v>14</v>
      </c>
      <c r="I16" s="3" t="s">
        <v>11</v>
      </c>
      <c r="J16" s="3" t="s">
        <v>12</v>
      </c>
      <c r="K16" s="3" t="s">
        <v>13</v>
      </c>
      <c r="L16" s="3"/>
      <c r="M16" s="3" t="s">
        <v>20</v>
      </c>
    </row>
    <row r="17" spans="8:13" x14ac:dyDescent="0.35">
      <c r="H17" s="3" t="s">
        <v>17</v>
      </c>
      <c r="I17" s="3">
        <f>7+MIN(I11:J11)</f>
        <v>11</v>
      </c>
      <c r="J17" s="3">
        <f>4+MIN(I12:J12)</f>
        <v>11</v>
      </c>
      <c r="K17" s="3">
        <f>6+L13</f>
        <v>12</v>
      </c>
      <c r="L17" s="3"/>
      <c r="M17" s="3">
        <f>MIN(I17:K17)</f>
        <v>11</v>
      </c>
    </row>
    <row r="18" spans="8:13" x14ac:dyDescent="0.35">
      <c r="H18" s="3" t="s">
        <v>18</v>
      </c>
      <c r="I18" s="3">
        <f>3+MIN(I11:J11)</f>
        <v>7</v>
      </c>
      <c r="J18" s="3">
        <f>2+MIN(I12:J12)</f>
        <v>9</v>
      </c>
      <c r="K18" s="3">
        <f>4+L13</f>
        <v>10</v>
      </c>
      <c r="L18" s="3"/>
      <c r="M18" s="3">
        <f t="shared" ref="M18:M19" si="1">MIN(I18:K18)</f>
        <v>7</v>
      </c>
    </row>
    <row r="19" spans="8:13" x14ac:dyDescent="0.35">
      <c r="H19" s="3" t="s">
        <v>19</v>
      </c>
      <c r="I19" s="3">
        <f>4+MIN(I11:J11)</f>
        <v>8</v>
      </c>
      <c r="J19" s="3">
        <f>1+MIN(I12:J12)</f>
        <v>8</v>
      </c>
      <c r="K19" s="3">
        <f>5+L13</f>
        <v>11</v>
      </c>
      <c r="L19" s="3"/>
      <c r="M19" s="3">
        <f t="shared" si="1"/>
        <v>8</v>
      </c>
    </row>
    <row r="20" spans="8:13" x14ac:dyDescent="0.35">
      <c r="H20" s="3"/>
      <c r="I20" s="3"/>
      <c r="J20" s="3"/>
      <c r="K20" s="3"/>
      <c r="L20" s="3"/>
      <c r="M20" s="3"/>
    </row>
    <row r="21" spans="8:13" x14ac:dyDescent="0.35">
      <c r="H21" s="3" t="s">
        <v>21</v>
      </c>
      <c r="I21" s="3"/>
      <c r="J21" s="3"/>
      <c r="K21" s="3"/>
      <c r="L21" s="3"/>
      <c r="M21" s="3"/>
    </row>
    <row r="22" spans="8:13" x14ac:dyDescent="0.35">
      <c r="H22" s="3" t="s">
        <v>14</v>
      </c>
      <c r="I22" s="3" t="s">
        <v>17</v>
      </c>
      <c r="J22" s="3" t="s">
        <v>18</v>
      </c>
      <c r="K22" s="3" t="s">
        <v>19</v>
      </c>
      <c r="L22" s="3"/>
      <c r="M22" s="3" t="s">
        <v>20</v>
      </c>
    </row>
    <row r="23" spans="8:13" x14ac:dyDescent="0.35">
      <c r="H23" s="3" t="s">
        <v>5</v>
      </c>
      <c r="I23" s="3">
        <f>2+M17</f>
        <v>13</v>
      </c>
      <c r="J23" s="3">
        <f>4+M18</f>
        <v>11</v>
      </c>
      <c r="K23" s="3">
        <f>3+M19</f>
        <v>11</v>
      </c>
      <c r="L23" s="3"/>
      <c r="M23" s="3">
        <f>MIN(I23:K23)</f>
        <v>11</v>
      </c>
    </row>
    <row r="24" spans="8:13" x14ac:dyDescent="0.35">
      <c r="H24" s="3"/>
      <c r="I24" s="3"/>
      <c r="J24" s="3"/>
      <c r="K24" s="3"/>
      <c r="L24" s="3"/>
      <c r="M24" s="3"/>
    </row>
    <row r="25" spans="8:13" x14ac:dyDescent="0.35">
      <c r="H25" s="3" t="s">
        <v>22</v>
      </c>
      <c r="I25" s="3"/>
      <c r="J25" s="3"/>
      <c r="K25" s="3"/>
      <c r="L25" s="3"/>
      <c r="M25" s="3"/>
    </row>
    <row r="26" spans="8:13" x14ac:dyDescent="0.35">
      <c r="H26" s="3" t="s">
        <v>23</v>
      </c>
      <c r="I26" s="3" t="s">
        <v>25</v>
      </c>
      <c r="J26" s="3"/>
      <c r="K26" s="3"/>
      <c r="L26" s="3"/>
      <c r="M26" s="3"/>
    </row>
    <row r="27" spans="8:13" x14ac:dyDescent="0.35">
      <c r="H27" s="3" t="s">
        <v>24</v>
      </c>
      <c r="I27" s="3" t="s">
        <v>26</v>
      </c>
      <c r="J27" s="3"/>
      <c r="K27" s="3"/>
      <c r="L27" s="3"/>
      <c r="M27" s="3"/>
    </row>
    <row r="28" spans="8:13" x14ac:dyDescent="0.35">
      <c r="H28" s="3" t="s">
        <v>27</v>
      </c>
      <c r="I28" s="3" t="s">
        <v>28</v>
      </c>
      <c r="J28" s="3"/>
      <c r="K28" s="3"/>
      <c r="L28" s="3"/>
      <c r="M28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7C96-1CE0-487F-BBED-2080DE9A9493}">
  <dimension ref="B3:M47"/>
  <sheetViews>
    <sheetView tabSelected="1" topLeftCell="G1" zoomScale="136" zoomScaleNormal="51" workbookViewId="0">
      <selection activeCell="I10" sqref="I10"/>
    </sheetView>
  </sheetViews>
  <sheetFormatPr defaultRowHeight="14.5" x14ac:dyDescent="0.35"/>
  <cols>
    <col min="2" max="2" width="41.1796875" bestFit="1" customWidth="1"/>
    <col min="3" max="3" width="20.36328125" bestFit="1" customWidth="1"/>
    <col min="5" max="5" width="21.26953125" customWidth="1"/>
    <col min="6" max="6" width="10" bestFit="1" customWidth="1"/>
    <col min="7" max="7" width="19.90625" bestFit="1" customWidth="1"/>
    <col min="8" max="8" width="13.81640625" bestFit="1" customWidth="1"/>
    <col min="9" max="9" width="19.7265625" bestFit="1" customWidth="1"/>
    <col min="10" max="10" width="20" bestFit="1" customWidth="1"/>
    <col min="11" max="11" width="17.54296875" bestFit="1" customWidth="1"/>
    <col min="12" max="12" width="17.08984375" bestFit="1" customWidth="1"/>
    <col min="13" max="13" width="13.81640625" bestFit="1" customWidth="1"/>
  </cols>
  <sheetData>
    <row r="3" spans="2:13" ht="15" thickBot="1" x14ac:dyDescent="0.4">
      <c r="B3" t="s">
        <v>32</v>
      </c>
      <c r="E3" t="s">
        <v>39</v>
      </c>
    </row>
    <row r="4" spans="2:13" ht="15" thickBot="1" x14ac:dyDescent="0.4">
      <c r="B4" t="s">
        <v>29</v>
      </c>
      <c r="C4" s="4">
        <v>350</v>
      </c>
      <c r="E4" s="5" t="s">
        <v>48</v>
      </c>
      <c r="F4" s="11" t="s">
        <v>40</v>
      </c>
      <c r="G4" s="6" t="s">
        <v>49</v>
      </c>
      <c r="H4" s="11" t="s">
        <v>42</v>
      </c>
      <c r="I4" s="11" t="s">
        <v>45</v>
      </c>
      <c r="J4" s="11" t="s">
        <v>43</v>
      </c>
      <c r="K4" s="11" t="s">
        <v>44</v>
      </c>
      <c r="L4" s="6" t="s">
        <v>46</v>
      </c>
      <c r="M4" s="18" t="s">
        <v>41</v>
      </c>
    </row>
    <row r="5" spans="2:13" ht="15" thickTop="1" x14ac:dyDescent="0.35">
      <c r="B5" t="s">
        <v>30</v>
      </c>
      <c r="C5" s="4">
        <v>750</v>
      </c>
      <c r="E5" s="7">
        <v>0</v>
      </c>
      <c r="F5" s="21">
        <v>400</v>
      </c>
      <c r="G5" s="8">
        <f>E5+F5-H5</f>
        <v>0</v>
      </c>
      <c r="H5" s="21">
        <f>$C$16</f>
        <v>400</v>
      </c>
      <c r="I5" s="12">
        <f>H5*$C$5</f>
        <v>300000</v>
      </c>
      <c r="J5" s="13">
        <f>F5*350</f>
        <v>140000</v>
      </c>
      <c r="K5" s="13">
        <f>E5*200</f>
        <v>0</v>
      </c>
      <c r="L5" s="14">
        <f>IF(F5&gt;0,150000,0)</f>
        <v>150000</v>
      </c>
      <c r="M5" s="19">
        <f>I5-J5-K5-L5</f>
        <v>10000</v>
      </c>
    </row>
    <row r="6" spans="2:13" x14ac:dyDescent="0.35">
      <c r="B6" t="s">
        <v>31</v>
      </c>
      <c r="C6" s="4">
        <v>150000</v>
      </c>
      <c r="E6" s="7">
        <v>100</v>
      </c>
      <c r="F6" s="21">
        <v>300</v>
      </c>
      <c r="G6" s="8">
        <f t="shared" ref="G6:G9" si="0">E6+F6-H6</f>
        <v>0</v>
      </c>
      <c r="H6" s="21">
        <f t="shared" ref="H6:H8" si="1">$C$16</f>
        <v>400</v>
      </c>
      <c r="I6" s="12">
        <f t="shared" ref="I6:I8" si="2">H6*$C$5</f>
        <v>300000</v>
      </c>
      <c r="J6" s="13">
        <f>F6*350</f>
        <v>105000</v>
      </c>
      <c r="K6" s="13">
        <f>E6*200</f>
        <v>20000</v>
      </c>
      <c r="L6" s="14">
        <f>IF(F6&gt;0,150000,0)</f>
        <v>150000</v>
      </c>
      <c r="M6" s="19">
        <f t="shared" ref="M6:M8" si="3">I6-J6-K6-L6</f>
        <v>25000</v>
      </c>
    </row>
    <row r="7" spans="2:13" x14ac:dyDescent="0.35">
      <c r="B7" t="s">
        <v>33</v>
      </c>
      <c r="C7">
        <v>100</v>
      </c>
      <c r="E7" s="7">
        <v>200</v>
      </c>
      <c r="F7" s="21">
        <v>200</v>
      </c>
      <c r="G7" s="8">
        <f t="shared" si="0"/>
        <v>0</v>
      </c>
      <c r="H7" s="21">
        <f t="shared" si="1"/>
        <v>400</v>
      </c>
      <c r="I7" s="12">
        <f t="shared" si="2"/>
        <v>300000</v>
      </c>
      <c r="J7" s="13">
        <f>F7*350</f>
        <v>70000</v>
      </c>
      <c r="K7" s="13">
        <f>E7*200</f>
        <v>40000</v>
      </c>
      <c r="L7" s="14">
        <f>IF(F7&gt;0,150000,0)</f>
        <v>150000</v>
      </c>
      <c r="M7" s="19">
        <f t="shared" si="3"/>
        <v>40000</v>
      </c>
    </row>
    <row r="8" spans="2:13" x14ac:dyDescent="0.35">
      <c r="B8" t="s">
        <v>34</v>
      </c>
      <c r="C8" s="4">
        <v>200</v>
      </c>
      <c r="E8" s="7">
        <v>300</v>
      </c>
      <c r="F8" s="21">
        <v>100</v>
      </c>
      <c r="G8" s="8">
        <f t="shared" si="0"/>
        <v>0</v>
      </c>
      <c r="H8" s="21">
        <f t="shared" si="1"/>
        <v>400</v>
      </c>
      <c r="I8" s="12">
        <f t="shared" si="2"/>
        <v>300000</v>
      </c>
      <c r="J8" s="13">
        <f>F8*350</f>
        <v>35000</v>
      </c>
      <c r="K8" s="13">
        <f>E8*200</f>
        <v>60000</v>
      </c>
      <c r="L8" s="14">
        <f>IF(F8&gt;0,150000,0)</f>
        <v>150000</v>
      </c>
      <c r="M8" s="19">
        <f t="shared" si="3"/>
        <v>55000</v>
      </c>
    </row>
    <row r="9" spans="2:13" ht="15" thickBot="1" x14ac:dyDescent="0.4">
      <c r="B9" t="s">
        <v>35</v>
      </c>
      <c r="C9">
        <v>800</v>
      </c>
      <c r="E9" s="9">
        <v>400</v>
      </c>
      <c r="F9" s="22">
        <v>0</v>
      </c>
      <c r="G9" s="10">
        <f t="shared" si="0"/>
        <v>0</v>
      </c>
      <c r="H9" s="22">
        <f>$C$16</f>
        <v>400</v>
      </c>
      <c r="I9" s="15">
        <f>H9*$C$5</f>
        <v>300000</v>
      </c>
      <c r="J9" s="16">
        <f>F9*350</f>
        <v>0</v>
      </c>
      <c r="K9" s="16">
        <f>E9*200</f>
        <v>80000</v>
      </c>
      <c r="L9" s="17">
        <f>IF(F9&gt;0,150000,0)</f>
        <v>0</v>
      </c>
      <c r="M9" s="38">
        <f>I9-J9-K9-L9</f>
        <v>220000</v>
      </c>
    </row>
    <row r="10" spans="2:13" x14ac:dyDescent="0.35">
      <c r="B10" t="s">
        <v>38</v>
      </c>
      <c r="E10" t="s">
        <v>47</v>
      </c>
    </row>
    <row r="11" spans="2:13" x14ac:dyDescent="0.35">
      <c r="E11" t="s">
        <v>51</v>
      </c>
    </row>
    <row r="12" spans="2:13" ht="15" thickBot="1" x14ac:dyDescent="0.4">
      <c r="B12" t="s">
        <v>37</v>
      </c>
      <c r="C12" t="s">
        <v>36</v>
      </c>
      <c r="E12" t="s">
        <v>54</v>
      </c>
    </row>
    <row r="13" spans="2:13" ht="15" thickBot="1" x14ac:dyDescent="0.4">
      <c r="B13">
        <v>1</v>
      </c>
      <c r="C13">
        <v>500</v>
      </c>
      <c r="E13" s="23" t="s">
        <v>50</v>
      </c>
      <c r="F13" s="24" t="s">
        <v>40</v>
      </c>
      <c r="G13" s="26" t="s">
        <v>49</v>
      </c>
      <c r="H13" s="24" t="s">
        <v>42</v>
      </c>
      <c r="I13" s="24" t="s">
        <v>45</v>
      </c>
      <c r="J13" s="24" t="s">
        <v>43</v>
      </c>
      <c r="K13" s="24" t="s">
        <v>44</v>
      </c>
      <c r="L13" s="26" t="s">
        <v>46</v>
      </c>
      <c r="M13" s="33" t="s">
        <v>41</v>
      </c>
    </row>
    <row r="14" spans="2:13" x14ac:dyDescent="0.35">
      <c r="B14">
        <v>2</v>
      </c>
      <c r="C14">
        <v>600</v>
      </c>
      <c r="E14" s="29">
        <v>0</v>
      </c>
      <c r="F14" s="35">
        <v>700</v>
      </c>
      <c r="G14" s="25">
        <f>E14+F14-H14</f>
        <v>400</v>
      </c>
      <c r="H14" s="29">
        <f>$C$15</f>
        <v>300</v>
      </c>
      <c r="I14" s="30">
        <f>H14*$C$5</f>
        <v>225000</v>
      </c>
      <c r="J14" s="31">
        <f>F14*350</f>
        <v>245000</v>
      </c>
      <c r="K14" s="31">
        <f>E14*200</f>
        <v>0</v>
      </c>
      <c r="L14" s="32">
        <f>IF(F14&gt;0,150000,0)</f>
        <v>150000</v>
      </c>
      <c r="M14" s="34">
        <f>I14-J14-K14-L14+MAX($M$5:$M$9)</f>
        <v>50000</v>
      </c>
    </row>
    <row r="15" spans="2:13" x14ac:dyDescent="0.35">
      <c r="B15">
        <v>3</v>
      </c>
      <c r="C15">
        <v>300</v>
      </c>
      <c r="E15" s="7">
        <v>100</v>
      </c>
      <c r="F15" s="21">
        <v>600</v>
      </c>
      <c r="G15" s="8">
        <f t="shared" ref="G15:G18" si="4">E15+F15-H15</f>
        <v>400</v>
      </c>
      <c r="H15" s="7">
        <f t="shared" ref="H15:H21" si="5">$C$15</f>
        <v>300</v>
      </c>
      <c r="I15" s="12">
        <f t="shared" ref="I15:I21" si="6">H15*$C$5</f>
        <v>225000</v>
      </c>
      <c r="J15" s="13">
        <f>F15*350</f>
        <v>210000</v>
      </c>
      <c r="K15" s="13">
        <f>E15*200</f>
        <v>20000</v>
      </c>
      <c r="L15" s="14">
        <f>IF(F15&gt;0,150000,0)</f>
        <v>150000</v>
      </c>
      <c r="M15" s="19">
        <f t="shared" ref="M15:M21" si="7">I15-J15-K15-L15+MAX($M$5:$M$9)</f>
        <v>65000</v>
      </c>
    </row>
    <row r="16" spans="2:13" x14ac:dyDescent="0.35">
      <c r="B16">
        <v>4</v>
      </c>
      <c r="C16">
        <v>400</v>
      </c>
      <c r="E16" s="7">
        <v>200</v>
      </c>
      <c r="F16" s="21">
        <v>500</v>
      </c>
      <c r="G16" s="8">
        <f t="shared" si="4"/>
        <v>400</v>
      </c>
      <c r="H16" s="7">
        <f t="shared" si="5"/>
        <v>300</v>
      </c>
      <c r="I16" s="12">
        <f t="shared" si="6"/>
        <v>225000</v>
      </c>
      <c r="J16" s="13">
        <f>F16*350</f>
        <v>175000</v>
      </c>
      <c r="K16" s="13">
        <f>E16*200</f>
        <v>40000</v>
      </c>
      <c r="L16" s="14">
        <f>IF(F16&gt;0,150000,0)</f>
        <v>150000</v>
      </c>
      <c r="M16" s="19">
        <f t="shared" si="7"/>
        <v>80000</v>
      </c>
    </row>
    <row r="17" spans="5:13" x14ac:dyDescent="0.35">
      <c r="E17" s="7">
        <v>300</v>
      </c>
      <c r="F17" s="21">
        <v>400</v>
      </c>
      <c r="G17" s="8">
        <f t="shared" si="4"/>
        <v>400</v>
      </c>
      <c r="H17" s="7">
        <f t="shared" si="5"/>
        <v>300</v>
      </c>
      <c r="I17" s="12">
        <f t="shared" si="6"/>
        <v>225000</v>
      </c>
      <c r="J17" s="13">
        <f>F17*350</f>
        <v>140000</v>
      </c>
      <c r="K17" s="13">
        <f>E17*200</f>
        <v>60000</v>
      </c>
      <c r="L17" s="14">
        <f>IF(F17&gt;0,150000,0)</f>
        <v>150000</v>
      </c>
      <c r="M17" s="19">
        <f t="shared" si="7"/>
        <v>95000</v>
      </c>
    </row>
    <row r="18" spans="5:13" x14ac:dyDescent="0.35">
      <c r="E18" s="7">
        <v>400</v>
      </c>
      <c r="F18" s="21">
        <v>300</v>
      </c>
      <c r="G18" s="8">
        <f t="shared" si="4"/>
        <v>400</v>
      </c>
      <c r="H18" s="7">
        <f t="shared" si="5"/>
        <v>300</v>
      </c>
      <c r="I18" s="12">
        <f t="shared" si="6"/>
        <v>225000</v>
      </c>
      <c r="J18" s="13">
        <f>F18*350</f>
        <v>105000</v>
      </c>
      <c r="K18" s="13">
        <f>E18*200</f>
        <v>80000</v>
      </c>
      <c r="L18" s="14">
        <f>IF(F18&gt;0,150000,0)</f>
        <v>150000</v>
      </c>
      <c r="M18" s="19">
        <f t="shared" si="7"/>
        <v>110000</v>
      </c>
    </row>
    <row r="19" spans="5:13" x14ac:dyDescent="0.35">
      <c r="E19" s="27">
        <v>500</v>
      </c>
      <c r="F19" s="28">
        <v>200</v>
      </c>
      <c r="G19" s="8">
        <f t="shared" ref="G19:G21" si="8">E19+F19-H19</f>
        <v>400</v>
      </c>
      <c r="H19" s="7">
        <f t="shared" si="5"/>
        <v>300</v>
      </c>
      <c r="I19" s="12">
        <f t="shared" si="6"/>
        <v>225000</v>
      </c>
      <c r="J19" s="13">
        <f t="shared" ref="J19:J21" si="9">F19*350</f>
        <v>70000</v>
      </c>
      <c r="K19" s="13">
        <f t="shared" ref="K19:K21" si="10">E19*200</f>
        <v>100000</v>
      </c>
      <c r="L19" s="14">
        <f t="shared" ref="L19:L21" si="11">IF(F19&gt;0,150000,0)</f>
        <v>150000</v>
      </c>
      <c r="M19" s="19">
        <f t="shared" si="7"/>
        <v>125000</v>
      </c>
    </row>
    <row r="20" spans="5:13" x14ac:dyDescent="0.35">
      <c r="E20" s="27">
        <v>600</v>
      </c>
      <c r="F20" s="28">
        <v>100</v>
      </c>
      <c r="G20" s="8">
        <f t="shared" si="8"/>
        <v>400</v>
      </c>
      <c r="H20" s="7">
        <f t="shared" si="5"/>
        <v>300</v>
      </c>
      <c r="I20" s="12">
        <f t="shared" si="6"/>
        <v>225000</v>
      </c>
      <c r="J20" s="13">
        <f t="shared" si="9"/>
        <v>35000</v>
      </c>
      <c r="K20" s="13">
        <f t="shared" si="10"/>
        <v>120000</v>
      </c>
      <c r="L20" s="14">
        <f t="shared" si="11"/>
        <v>150000</v>
      </c>
      <c r="M20" s="19">
        <f t="shared" si="7"/>
        <v>140000</v>
      </c>
    </row>
    <row r="21" spans="5:13" ht="15" thickBot="1" x14ac:dyDescent="0.4">
      <c r="E21" s="36">
        <v>700</v>
      </c>
      <c r="F21" s="37">
        <v>0</v>
      </c>
      <c r="G21" s="10">
        <f t="shared" si="8"/>
        <v>400</v>
      </c>
      <c r="H21" s="9">
        <f t="shared" si="5"/>
        <v>300</v>
      </c>
      <c r="I21" s="15">
        <f t="shared" si="6"/>
        <v>225000</v>
      </c>
      <c r="J21" s="16">
        <f t="shared" si="9"/>
        <v>0</v>
      </c>
      <c r="K21" s="16">
        <f t="shared" si="10"/>
        <v>140000</v>
      </c>
      <c r="L21" s="17">
        <f t="shared" si="11"/>
        <v>0</v>
      </c>
      <c r="M21" s="38">
        <f t="shared" si="7"/>
        <v>305000</v>
      </c>
    </row>
    <row r="22" spans="5:13" x14ac:dyDescent="0.35">
      <c r="E22" t="s">
        <v>52</v>
      </c>
    </row>
    <row r="23" spans="5:13" x14ac:dyDescent="0.35">
      <c r="E23" t="s">
        <v>53</v>
      </c>
    </row>
    <row r="24" spans="5:13" ht="15" thickBot="1" x14ac:dyDescent="0.4">
      <c r="E24" t="s">
        <v>55</v>
      </c>
    </row>
    <row r="25" spans="5:13" ht="15" thickBot="1" x14ac:dyDescent="0.4">
      <c r="E25" s="23" t="s">
        <v>50</v>
      </c>
      <c r="F25" s="24" t="s">
        <v>40</v>
      </c>
      <c r="G25" s="26" t="s">
        <v>49</v>
      </c>
      <c r="H25" s="24" t="s">
        <v>42</v>
      </c>
      <c r="I25" s="24" t="s">
        <v>45</v>
      </c>
      <c r="J25" s="24" t="s">
        <v>43</v>
      </c>
      <c r="K25" s="24" t="s">
        <v>44</v>
      </c>
      <c r="L25" s="26" t="s">
        <v>46</v>
      </c>
      <c r="M25" s="33" t="s">
        <v>41</v>
      </c>
    </row>
    <row r="26" spans="5:13" x14ac:dyDescent="0.35">
      <c r="E26" s="29">
        <v>0</v>
      </c>
      <c r="F26" s="35">
        <v>900</v>
      </c>
      <c r="G26" s="25">
        <f>E26+F26-H26</f>
        <v>300</v>
      </c>
      <c r="H26" s="29">
        <f>$C$14</f>
        <v>600</v>
      </c>
      <c r="I26" s="30">
        <f>H26*$C$5</f>
        <v>450000</v>
      </c>
      <c r="J26" s="31">
        <f>F26*350</f>
        <v>315000</v>
      </c>
      <c r="K26" s="31">
        <f>E26*200</f>
        <v>0</v>
      </c>
      <c r="L26" s="31">
        <f>IF(F26&gt;0,150000,0)</f>
        <v>150000</v>
      </c>
      <c r="M26" s="34">
        <f>I26-J26-K26-L26+MAX($M$14:$M$21)</f>
        <v>290000</v>
      </c>
    </row>
    <row r="27" spans="5:13" x14ac:dyDescent="0.35">
      <c r="E27" s="7">
        <v>100</v>
      </c>
      <c r="F27" s="21">
        <v>800</v>
      </c>
      <c r="G27" s="8">
        <f t="shared" ref="G27:G32" si="12">G15</f>
        <v>400</v>
      </c>
      <c r="H27" s="7">
        <f t="shared" ref="H27:H34" si="13">$C$14</f>
        <v>600</v>
      </c>
      <c r="I27" s="12">
        <f t="shared" ref="I27:I32" si="14">H27*$C$5</f>
        <v>450000</v>
      </c>
      <c r="J27" s="13">
        <f>F27*350</f>
        <v>280000</v>
      </c>
      <c r="K27" s="13">
        <f>E27*200</f>
        <v>20000</v>
      </c>
      <c r="L27" s="13">
        <f>IF(F27&gt;0,150000,0)</f>
        <v>150000</v>
      </c>
      <c r="M27" s="19">
        <f t="shared" ref="M27:M34" si="15">I27-J27-K27-L27+MAX($M$14:$M$21)</f>
        <v>305000</v>
      </c>
    </row>
    <row r="28" spans="5:13" x14ac:dyDescent="0.35">
      <c r="E28" s="7">
        <v>200</v>
      </c>
      <c r="F28" s="21">
        <v>700</v>
      </c>
      <c r="G28" s="8">
        <f t="shared" si="12"/>
        <v>400</v>
      </c>
      <c r="H28" s="7">
        <f t="shared" si="13"/>
        <v>600</v>
      </c>
      <c r="I28" s="12">
        <f t="shared" si="14"/>
        <v>450000</v>
      </c>
      <c r="J28" s="13">
        <f>F28*350</f>
        <v>245000</v>
      </c>
      <c r="K28" s="13">
        <f>E28*200</f>
        <v>40000</v>
      </c>
      <c r="L28" s="13">
        <f>IF(F28&gt;0,150000,0)</f>
        <v>150000</v>
      </c>
      <c r="M28" s="19">
        <f t="shared" si="15"/>
        <v>320000</v>
      </c>
    </row>
    <row r="29" spans="5:13" x14ac:dyDescent="0.35">
      <c r="E29" s="7">
        <v>300</v>
      </c>
      <c r="F29" s="21">
        <v>600</v>
      </c>
      <c r="G29" s="8">
        <f t="shared" si="12"/>
        <v>400</v>
      </c>
      <c r="H29" s="7">
        <f t="shared" si="13"/>
        <v>600</v>
      </c>
      <c r="I29" s="12">
        <f t="shared" si="14"/>
        <v>450000</v>
      </c>
      <c r="J29" s="13">
        <f>F29*350</f>
        <v>210000</v>
      </c>
      <c r="K29" s="13">
        <f>E29*200</f>
        <v>60000</v>
      </c>
      <c r="L29" s="13">
        <f>IF(F29&gt;0,150000,0)</f>
        <v>150000</v>
      </c>
      <c r="M29" s="19">
        <f t="shared" si="15"/>
        <v>335000</v>
      </c>
    </row>
    <row r="30" spans="5:13" x14ac:dyDescent="0.35">
      <c r="E30" s="7">
        <v>400</v>
      </c>
      <c r="F30" s="21">
        <v>500</v>
      </c>
      <c r="G30" s="8">
        <f t="shared" si="12"/>
        <v>400</v>
      </c>
      <c r="H30" s="7">
        <f t="shared" si="13"/>
        <v>600</v>
      </c>
      <c r="I30" s="12">
        <f t="shared" si="14"/>
        <v>450000</v>
      </c>
      <c r="J30" s="13">
        <f>F30*350</f>
        <v>175000</v>
      </c>
      <c r="K30" s="13">
        <f>E30*200</f>
        <v>80000</v>
      </c>
      <c r="L30" s="13">
        <f>IF(F30&gt;0,150000,0)</f>
        <v>150000</v>
      </c>
      <c r="M30" s="19">
        <f t="shared" si="15"/>
        <v>350000</v>
      </c>
    </row>
    <row r="31" spans="5:13" x14ac:dyDescent="0.35">
      <c r="E31" s="27">
        <v>500</v>
      </c>
      <c r="F31" s="28">
        <v>400</v>
      </c>
      <c r="G31" s="8">
        <f t="shared" si="12"/>
        <v>400</v>
      </c>
      <c r="H31" s="7">
        <f t="shared" si="13"/>
        <v>600</v>
      </c>
      <c r="I31" s="12">
        <f t="shared" si="14"/>
        <v>450000</v>
      </c>
      <c r="J31" s="13">
        <f t="shared" ref="J31:J32" si="16">F31*350</f>
        <v>140000</v>
      </c>
      <c r="K31" s="13">
        <f t="shared" ref="K31:K32" si="17">E31*200</f>
        <v>100000</v>
      </c>
      <c r="L31" s="13">
        <f t="shared" ref="L31:L32" si="18">IF(F31&gt;0,150000,0)</f>
        <v>150000</v>
      </c>
      <c r="M31" s="19">
        <f t="shared" si="15"/>
        <v>365000</v>
      </c>
    </row>
    <row r="32" spans="5:13" x14ac:dyDescent="0.35">
      <c r="E32" s="27">
        <v>600</v>
      </c>
      <c r="F32" s="28">
        <v>300</v>
      </c>
      <c r="G32" s="8">
        <f t="shared" si="12"/>
        <v>400</v>
      </c>
      <c r="H32" s="7">
        <f t="shared" si="13"/>
        <v>600</v>
      </c>
      <c r="I32" s="12">
        <f t="shared" si="14"/>
        <v>450000</v>
      </c>
      <c r="J32" s="13">
        <f t="shared" si="16"/>
        <v>105000</v>
      </c>
      <c r="K32" s="13">
        <f t="shared" si="17"/>
        <v>120000</v>
      </c>
      <c r="L32" s="13">
        <f t="shared" si="18"/>
        <v>150000</v>
      </c>
      <c r="M32" s="19">
        <f t="shared" si="15"/>
        <v>380000</v>
      </c>
    </row>
    <row r="33" spans="5:13" x14ac:dyDescent="0.35">
      <c r="E33" s="27">
        <v>700</v>
      </c>
      <c r="F33" s="28">
        <v>200</v>
      </c>
      <c r="G33" s="8">
        <f>G21</f>
        <v>400</v>
      </c>
      <c r="H33" s="7">
        <f t="shared" si="13"/>
        <v>600</v>
      </c>
      <c r="I33" s="12">
        <f>H33*$C$5</f>
        <v>450000</v>
      </c>
      <c r="J33" s="13">
        <f>F33*350</f>
        <v>70000</v>
      </c>
      <c r="K33" s="13">
        <f>E33*200</f>
        <v>140000</v>
      </c>
      <c r="L33" s="13">
        <f>IF(F33&gt;0,150000,0)</f>
        <v>150000</v>
      </c>
      <c r="M33" s="19">
        <f t="shared" si="15"/>
        <v>395000</v>
      </c>
    </row>
    <row r="34" spans="5:13" ht="15" thickBot="1" x14ac:dyDescent="0.4">
      <c r="E34" s="36">
        <v>800</v>
      </c>
      <c r="F34" s="37">
        <v>100</v>
      </c>
      <c r="G34" s="10">
        <f>G22</f>
        <v>0</v>
      </c>
      <c r="H34" s="9">
        <f t="shared" si="13"/>
        <v>600</v>
      </c>
      <c r="I34" s="15">
        <f>H34*$C$5</f>
        <v>450000</v>
      </c>
      <c r="J34" s="16">
        <f>F34*350</f>
        <v>35000</v>
      </c>
      <c r="K34" s="16">
        <f>E34*200</f>
        <v>160000</v>
      </c>
      <c r="L34" s="16">
        <f>IF(F34&gt;0,150000,0)</f>
        <v>150000</v>
      </c>
      <c r="M34" s="20">
        <f t="shared" si="15"/>
        <v>410000</v>
      </c>
    </row>
    <row r="37" spans="5:13" ht="15" thickBot="1" x14ac:dyDescent="0.4">
      <c r="E37" t="s">
        <v>56</v>
      </c>
    </row>
    <row r="38" spans="5:13" ht="15" thickBot="1" x14ac:dyDescent="0.4">
      <c r="E38" s="23" t="s">
        <v>50</v>
      </c>
      <c r="F38" s="24" t="s">
        <v>40</v>
      </c>
      <c r="G38" s="26" t="s">
        <v>49</v>
      </c>
      <c r="H38" s="24" t="s">
        <v>42</v>
      </c>
      <c r="I38" s="24" t="s">
        <v>45</v>
      </c>
      <c r="J38" s="24" t="s">
        <v>43</v>
      </c>
      <c r="K38" s="24" t="s">
        <v>44</v>
      </c>
      <c r="L38" s="26" t="s">
        <v>46</v>
      </c>
      <c r="M38" s="33" t="s">
        <v>41</v>
      </c>
    </row>
    <row r="39" spans="5:13" x14ac:dyDescent="0.35">
      <c r="E39" s="29">
        <v>0</v>
      </c>
      <c r="F39" s="35">
        <v>900</v>
      </c>
      <c r="G39" s="25">
        <f>E39+F39-H39</f>
        <v>400</v>
      </c>
      <c r="H39" s="29">
        <f>$C$13</f>
        <v>500</v>
      </c>
      <c r="I39" s="30">
        <f>H39*$C$5</f>
        <v>375000</v>
      </c>
      <c r="J39" s="31">
        <f>F39*350</f>
        <v>315000</v>
      </c>
      <c r="K39" s="31">
        <f>E39*200</f>
        <v>0</v>
      </c>
      <c r="L39" s="31">
        <f>IF(F39&gt;0,150000,0)</f>
        <v>150000</v>
      </c>
      <c r="M39" s="34">
        <f>I39-J39-K39-L39+MAX($M$14:$M$21)</f>
        <v>215000</v>
      </c>
    </row>
    <row r="40" spans="5:13" x14ac:dyDescent="0.35">
      <c r="E40" s="7">
        <v>0</v>
      </c>
      <c r="F40" s="21">
        <v>800</v>
      </c>
      <c r="G40" s="8">
        <f t="shared" ref="G40:G46" si="19">E40+F40-H40</f>
        <v>300</v>
      </c>
      <c r="H40" s="7">
        <f t="shared" ref="H40:H47" si="20">$C$13</f>
        <v>500</v>
      </c>
      <c r="I40" s="12">
        <f t="shared" ref="I40:I45" si="21">H40*$C$5</f>
        <v>375000</v>
      </c>
      <c r="J40" s="13">
        <f>F40*350</f>
        <v>280000</v>
      </c>
      <c r="K40" s="13">
        <f>E40*200</f>
        <v>0</v>
      </c>
      <c r="L40" s="13">
        <f>IF(F40&gt;0,150000,0)</f>
        <v>150000</v>
      </c>
      <c r="M40" s="19">
        <f t="shared" ref="M40:M46" si="22">I40-J40-K40-L40+MAX($M$14:$M$21)</f>
        <v>250000</v>
      </c>
    </row>
    <row r="41" spans="5:13" x14ac:dyDescent="0.35">
      <c r="E41" s="7">
        <v>0</v>
      </c>
      <c r="F41" s="21">
        <v>700</v>
      </c>
      <c r="G41" s="8">
        <f t="shared" si="19"/>
        <v>200</v>
      </c>
      <c r="H41" s="7">
        <f t="shared" si="20"/>
        <v>500</v>
      </c>
      <c r="I41" s="12">
        <f t="shared" si="21"/>
        <v>375000</v>
      </c>
      <c r="J41" s="13">
        <f>F41*350</f>
        <v>245000</v>
      </c>
      <c r="K41" s="13">
        <f>E41*200</f>
        <v>0</v>
      </c>
      <c r="L41" s="13">
        <f>IF(F41&gt;0,150000,0)</f>
        <v>150000</v>
      </c>
      <c r="M41" s="19">
        <f t="shared" si="22"/>
        <v>285000</v>
      </c>
    </row>
    <row r="42" spans="5:13" x14ac:dyDescent="0.35">
      <c r="E42" s="7">
        <v>0</v>
      </c>
      <c r="F42" s="21">
        <v>600</v>
      </c>
      <c r="G42" s="8">
        <f t="shared" si="19"/>
        <v>100</v>
      </c>
      <c r="H42" s="7">
        <f t="shared" si="20"/>
        <v>500</v>
      </c>
      <c r="I42" s="12">
        <f t="shared" si="21"/>
        <v>375000</v>
      </c>
      <c r="J42" s="13">
        <f>F42*350</f>
        <v>210000</v>
      </c>
      <c r="K42" s="13">
        <f>E42*200</f>
        <v>0</v>
      </c>
      <c r="L42" s="13">
        <f>IF(F42&gt;0,150000,0)</f>
        <v>150000</v>
      </c>
      <c r="M42" s="19">
        <f t="shared" si="22"/>
        <v>320000</v>
      </c>
    </row>
    <row r="43" spans="5:13" x14ac:dyDescent="0.35">
      <c r="E43" s="7">
        <v>0</v>
      </c>
      <c r="F43" s="21">
        <v>500</v>
      </c>
      <c r="G43" s="8">
        <f t="shared" si="19"/>
        <v>0</v>
      </c>
      <c r="H43" s="7">
        <f t="shared" si="20"/>
        <v>500</v>
      </c>
      <c r="I43" s="12">
        <f t="shared" si="21"/>
        <v>375000</v>
      </c>
      <c r="J43" s="13">
        <f>F43*350</f>
        <v>175000</v>
      </c>
      <c r="K43" s="13">
        <f>E43*200</f>
        <v>0</v>
      </c>
      <c r="L43" s="13">
        <f>IF(F43&gt;0,150000,0)</f>
        <v>150000</v>
      </c>
      <c r="M43" s="19">
        <f t="shared" si="22"/>
        <v>355000</v>
      </c>
    </row>
    <row r="44" spans="5:13" x14ac:dyDescent="0.35">
      <c r="E44" s="27">
        <v>0</v>
      </c>
      <c r="F44" s="28">
        <v>400</v>
      </c>
      <c r="G44" s="8">
        <f t="shared" si="19"/>
        <v>-100</v>
      </c>
      <c r="H44" s="7">
        <f t="shared" si="20"/>
        <v>500</v>
      </c>
      <c r="I44" s="12">
        <f t="shared" si="21"/>
        <v>375000</v>
      </c>
      <c r="J44" s="13">
        <f t="shared" ref="J44:J45" si="23">F44*350</f>
        <v>140000</v>
      </c>
      <c r="K44" s="13">
        <f t="shared" ref="K44:K45" si="24">E44*200</f>
        <v>0</v>
      </c>
      <c r="L44" s="13">
        <f t="shared" ref="L44:L45" si="25">IF(F44&gt;0,150000,0)</f>
        <v>150000</v>
      </c>
      <c r="M44" s="19">
        <f t="shared" si="22"/>
        <v>390000</v>
      </c>
    </row>
    <row r="45" spans="5:13" x14ac:dyDescent="0.35">
      <c r="E45" s="27">
        <v>0</v>
      </c>
      <c r="F45" s="28">
        <v>300</v>
      </c>
      <c r="G45" s="8">
        <f t="shared" si="19"/>
        <v>-200</v>
      </c>
      <c r="H45" s="7">
        <f t="shared" si="20"/>
        <v>500</v>
      </c>
      <c r="I45" s="12">
        <f t="shared" si="21"/>
        <v>375000</v>
      </c>
      <c r="J45" s="13">
        <f t="shared" si="23"/>
        <v>105000</v>
      </c>
      <c r="K45" s="13">
        <f t="shared" si="24"/>
        <v>0</v>
      </c>
      <c r="L45" s="13">
        <f t="shared" si="25"/>
        <v>150000</v>
      </c>
      <c r="M45" s="19">
        <f t="shared" si="22"/>
        <v>425000</v>
      </c>
    </row>
    <row r="46" spans="5:13" x14ac:dyDescent="0.35">
      <c r="E46" s="27">
        <v>0</v>
      </c>
      <c r="F46" s="28">
        <v>200</v>
      </c>
      <c r="G46" s="8">
        <f t="shared" si="19"/>
        <v>-300</v>
      </c>
      <c r="H46" s="7">
        <f t="shared" si="20"/>
        <v>500</v>
      </c>
      <c r="I46" s="12">
        <f>H46*$C$5</f>
        <v>375000</v>
      </c>
      <c r="J46" s="13">
        <f>F46*350</f>
        <v>70000</v>
      </c>
      <c r="K46" s="13">
        <f>E46*200</f>
        <v>0</v>
      </c>
      <c r="L46" s="13">
        <f>IF(F46&gt;0,150000,0)</f>
        <v>150000</v>
      </c>
      <c r="M46" s="19">
        <f t="shared" si="22"/>
        <v>460000</v>
      </c>
    </row>
    <row r="47" spans="5:13" ht="15" thickBot="1" x14ac:dyDescent="0.4">
      <c r="E47" s="36">
        <v>0</v>
      </c>
      <c r="F47" s="37">
        <v>100</v>
      </c>
      <c r="G47" s="10">
        <f>E47+F47-H47</f>
        <v>-400</v>
      </c>
      <c r="H47" s="9">
        <f t="shared" si="20"/>
        <v>500</v>
      </c>
      <c r="I47" s="15">
        <f>H47*$C$5</f>
        <v>375000</v>
      </c>
      <c r="J47" s="16">
        <f>F47*350</f>
        <v>35000</v>
      </c>
      <c r="K47" s="16">
        <f>E47*200</f>
        <v>0</v>
      </c>
      <c r="L47" s="16">
        <f>IF(F47&gt;0,150000,0)</f>
        <v>150000</v>
      </c>
      <c r="M47" s="20">
        <f>I47-J47-K47-L47+MAX($M$14:$M$21)</f>
        <v>495000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Shortest path</vt:lpstr>
      <vt:lpstr>Lagertoeri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Bjørn Mathiesen</cp:lastModifiedBy>
  <dcterms:created xsi:type="dcterms:W3CDTF">2015-06-05T18:19:34Z</dcterms:created>
  <dcterms:modified xsi:type="dcterms:W3CDTF">2026-02-22T09:11:49Z</dcterms:modified>
</cp:coreProperties>
</file>