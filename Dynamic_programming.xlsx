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studentcbs-my.sharepoint.com/personal/adma24ac_student_cbs_dk/Documents/Skrivebord/Operationsanalyse/Eksamen/OA_HA_MAT/"/>
    </mc:Choice>
  </mc:AlternateContent>
  <xr:revisionPtr revIDLastSave="1604" documentId="11_AD4D1D646341095ACB7000FE0597FE22683EDF0E" xr6:coauthVersionLast="47" xr6:coauthVersionMax="47" xr10:uidLastSave="{7F679A83-5CD1-47B8-8E72-A46F052019FD}"/>
  <bookViews>
    <workbookView xWindow="-110" yWindow="-110" windowWidth="19420" windowHeight="11500" firstSheet="2" activeTab="5" xr2:uid="{00000000-000D-0000-FFFF-FFFF00000000}"/>
  </bookViews>
  <sheets>
    <sheet name="Ark1" sheetId="1" r:id="rId1"/>
    <sheet name="Shortest path" sheetId="2" r:id="rId2"/>
    <sheet name="Lagertoeri (shit)" sheetId="3" r:id="rId3"/>
    <sheet name="Lagerteori axelotl" sheetId="4" r:id="rId4"/>
    <sheet name="bedste indtil videre" sheetId="5" r:id="rId5"/>
    <sheet name="Neckarwestheim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" i="6" l="1"/>
  <c r="K16" i="6"/>
  <c r="K24" i="6" s="1"/>
  <c r="J15" i="6"/>
  <c r="K23" i="6"/>
  <c r="I15" i="6"/>
  <c r="L16" i="6"/>
  <c r="K25" i="6"/>
  <c r="K27" i="6"/>
  <c r="K26" i="6"/>
  <c r="K17" i="6"/>
  <c r="J23" i="6"/>
  <c r="J24" i="6"/>
  <c r="J25" i="6"/>
  <c r="J26" i="6"/>
  <c r="J27" i="6"/>
  <c r="L18" i="6"/>
  <c r="L17" i="6"/>
  <c r="J16" i="6"/>
  <c r="K15" i="6"/>
  <c r="D16" i="6"/>
  <c r="D17" i="6"/>
  <c r="D18" i="6"/>
  <c r="D19" i="6"/>
  <c r="D15" i="6"/>
  <c r="E73" i="5" l="1"/>
  <c r="L86" i="5"/>
  <c r="E130" i="5" s="1"/>
  <c r="L142" i="5" s="1"/>
  <c r="L31" i="5"/>
  <c r="L18" i="5"/>
  <c r="P194" i="5"/>
  <c r="O194" i="5"/>
  <c r="J194" i="5"/>
  <c r="F194" i="5"/>
  <c r="P189" i="5"/>
  <c r="O189" i="5"/>
  <c r="J189" i="5"/>
  <c r="F189" i="5"/>
  <c r="P184" i="5"/>
  <c r="O184" i="5"/>
  <c r="J184" i="5"/>
  <c r="F184" i="5"/>
  <c r="P179" i="5"/>
  <c r="O179" i="5"/>
  <c r="J179" i="5"/>
  <c r="F179" i="5"/>
  <c r="I179" i="5" s="1"/>
  <c r="P174" i="5"/>
  <c r="O174" i="5"/>
  <c r="J174" i="5"/>
  <c r="F174" i="5"/>
  <c r="E121" i="5"/>
  <c r="F121" i="5" s="1"/>
  <c r="E122" i="5"/>
  <c r="F122" i="5" s="1"/>
  <c r="E123" i="5"/>
  <c r="F123" i="5" s="1"/>
  <c r="E124" i="5"/>
  <c r="F124" i="5" s="1"/>
  <c r="E120" i="5"/>
  <c r="F120" i="5" s="1"/>
  <c r="E112" i="5"/>
  <c r="F112" i="5" s="1"/>
  <c r="E113" i="5"/>
  <c r="F113" i="5" s="1"/>
  <c r="E114" i="5"/>
  <c r="F114" i="5" s="1"/>
  <c r="E115" i="5"/>
  <c r="F115" i="5"/>
  <c r="E111" i="5"/>
  <c r="F111" i="5" s="1"/>
  <c r="E103" i="5"/>
  <c r="F103" i="5" s="1"/>
  <c r="E104" i="5"/>
  <c r="E105" i="5"/>
  <c r="E106" i="5"/>
  <c r="E102" i="5"/>
  <c r="F104" i="5"/>
  <c r="E94" i="5"/>
  <c r="F94" i="5" s="1"/>
  <c r="E95" i="5"/>
  <c r="E96" i="5"/>
  <c r="F96" i="5" s="1"/>
  <c r="E97" i="5"/>
  <c r="F97" i="5" s="1"/>
  <c r="F95" i="5"/>
  <c r="E85" i="5"/>
  <c r="F85" i="5" s="1"/>
  <c r="N85" i="5" s="1"/>
  <c r="E86" i="5"/>
  <c r="F86" i="5" s="1"/>
  <c r="E87" i="5"/>
  <c r="F87" i="5" s="1"/>
  <c r="E88" i="5"/>
  <c r="F88" i="5" s="1"/>
  <c r="E84" i="5"/>
  <c r="F84" i="5" s="1"/>
  <c r="E93" i="5"/>
  <c r="P160" i="5"/>
  <c r="O160" i="5"/>
  <c r="J160" i="5"/>
  <c r="E160" i="5"/>
  <c r="F160" i="5" s="1"/>
  <c r="P159" i="5"/>
  <c r="O159" i="5"/>
  <c r="J159" i="5"/>
  <c r="E159" i="5"/>
  <c r="F159" i="5" s="1"/>
  <c r="P158" i="5"/>
  <c r="O158" i="5"/>
  <c r="J158" i="5"/>
  <c r="E158" i="5"/>
  <c r="F158" i="5" s="1"/>
  <c r="P157" i="5"/>
  <c r="O157" i="5"/>
  <c r="J157" i="5"/>
  <c r="E157" i="5"/>
  <c r="F157" i="5" s="1"/>
  <c r="P156" i="5"/>
  <c r="O156" i="5"/>
  <c r="J156" i="5"/>
  <c r="E156" i="5"/>
  <c r="F156" i="5" s="1"/>
  <c r="N156" i="5" s="1"/>
  <c r="P151" i="5"/>
  <c r="O151" i="5"/>
  <c r="J151" i="5"/>
  <c r="E151" i="5"/>
  <c r="F151" i="5" s="1"/>
  <c r="P150" i="5"/>
  <c r="O150" i="5"/>
  <c r="J150" i="5"/>
  <c r="E150" i="5"/>
  <c r="F150" i="5" s="1"/>
  <c r="P149" i="5"/>
  <c r="O149" i="5"/>
  <c r="J149" i="5"/>
  <c r="E149" i="5"/>
  <c r="F149" i="5" s="1"/>
  <c r="P148" i="5"/>
  <c r="O148" i="5"/>
  <c r="J148" i="5"/>
  <c r="E148" i="5"/>
  <c r="F148" i="5" s="1"/>
  <c r="I148" i="5" s="1"/>
  <c r="P147" i="5"/>
  <c r="O147" i="5"/>
  <c r="J147" i="5"/>
  <c r="E147" i="5"/>
  <c r="F147" i="5" s="1"/>
  <c r="P142" i="5"/>
  <c r="O142" i="5"/>
  <c r="J142" i="5"/>
  <c r="E142" i="5"/>
  <c r="F142" i="5" s="1"/>
  <c r="P141" i="5"/>
  <c r="O141" i="5"/>
  <c r="J141" i="5"/>
  <c r="E141" i="5"/>
  <c r="F141" i="5" s="1"/>
  <c r="N141" i="5" s="1"/>
  <c r="P140" i="5"/>
  <c r="O140" i="5"/>
  <c r="J140" i="5"/>
  <c r="E140" i="5"/>
  <c r="F140" i="5" s="1"/>
  <c r="P139" i="5"/>
  <c r="O139" i="5"/>
  <c r="J139" i="5"/>
  <c r="E139" i="5"/>
  <c r="F139" i="5" s="1"/>
  <c r="P138" i="5"/>
  <c r="O138" i="5"/>
  <c r="J138" i="5"/>
  <c r="E138" i="5"/>
  <c r="F138" i="5" s="1"/>
  <c r="P124" i="5"/>
  <c r="O124" i="5"/>
  <c r="J124" i="5"/>
  <c r="P123" i="5"/>
  <c r="O123" i="5"/>
  <c r="J123" i="5"/>
  <c r="P122" i="5"/>
  <c r="O122" i="5"/>
  <c r="J122" i="5"/>
  <c r="P121" i="5"/>
  <c r="O121" i="5"/>
  <c r="J121" i="5"/>
  <c r="P120" i="5"/>
  <c r="O120" i="5"/>
  <c r="J120" i="5"/>
  <c r="P115" i="5"/>
  <c r="O115" i="5"/>
  <c r="J115" i="5"/>
  <c r="P114" i="5"/>
  <c r="O114" i="5"/>
  <c r="J114" i="5"/>
  <c r="P113" i="5"/>
  <c r="O113" i="5"/>
  <c r="J113" i="5"/>
  <c r="P112" i="5"/>
  <c r="O112" i="5"/>
  <c r="J112" i="5"/>
  <c r="P111" i="5"/>
  <c r="O111" i="5"/>
  <c r="J111" i="5"/>
  <c r="J39" i="5"/>
  <c r="P106" i="5"/>
  <c r="O106" i="5"/>
  <c r="J106" i="5"/>
  <c r="F106" i="5"/>
  <c r="P105" i="5"/>
  <c r="O105" i="5"/>
  <c r="J105" i="5"/>
  <c r="F105" i="5"/>
  <c r="I105" i="5" s="1"/>
  <c r="P104" i="5"/>
  <c r="O104" i="5"/>
  <c r="J104" i="5"/>
  <c r="P103" i="5"/>
  <c r="O103" i="5"/>
  <c r="J103" i="5"/>
  <c r="P102" i="5"/>
  <c r="O102" i="5"/>
  <c r="J102" i="5"/>
  <c r="F102" i="5"/>
  <c r="P97" i="5"/>
  <c r="O97" i="5"/>
  <c r="J97" i="5"/>
  <c r="P96" i="5"/>
  <c r="O96" i="5"/>
  <c r="J96" i="5"/>
  <c r="P95" i="5"/>
  <c r="O95" i="5"/>
  <c r="J95" i="5"/>
  <c r="P94" i="5"/>
  <c r="O94" i="5"/>
  <c r="J94" i="5"/>
  <c r="P93" i="5"/>
  <c r="O93" i="5"/>
  <c r="J93" i="5"/>
  <c r="F93" i="5"/>
  <c r="J87" i="5"/>
  <c r="J88" i="5"/>
  <c r="P88" i="5"/>
  <c r="O88" i="5"/>
  <c r="P87" i="5"/>
  <c r="O87" i="5"/>
  <c r="P86" i="5"/>
  <c r="O86" i="5"/>
  <c r="J86" i="5"/>
  <c r="P85" i="5"/>
  <c r="O85" i="5"/>
  <c r="J85" i="5"/>
  <c r="P84" i="5"/>
  <c r="O84" i="5"/>
  <c r="J84" i="5"/>
  <c r="J66" i="5"/>
  <c r="J67" i="5"/>
  <c r="J68" i="5"/>
  <c r="J69" i="5"/>
  <c r="J57" i="5"/>
  <c r="J58" i="5"/>
  <c r="J59" i="5"/>
  <c r="J60" i="5"/>
  <c r="J48" i="5"/>
  <c r="J49" i="5"/>
  <c r="J50" i="5"/>
  <c r="J51" i="5"/>
  <c r="J40" i="5"/>
  <c r="J41" i="5"/>
  <c r="J42" i="5"/>
  <c r="J30" i="5"/>
  <c r="J31" i="5"/>
  <c r="J32" i="5"/>
  <c r="J33" i="5"/>
  <c r="J19" i="5"/>
  <c r="J20" i="5"/>
  <c r="J21" i="5"/>
  <c r="J22" i="5"/>
  <c r="J65" i="5"/>
  <c r="J56" i="5"/>
  <c r="J47" i="5"/>
  <c r="J38" i="5"/>
  <c r="J29" i="5"/>
  <c r="J18" i="5"/>
  <c r="I67" i="5"/>
  <c r="I49" i="5"/>
  <c r="I40" i="5"/>
  <c r="I41" i="5"/>
  <c r="I42" i="5"/>
  <c r="P69" i="5"/>
  <c r="O69" i="5"/>
  <c r="E69" i="5"/>
  <c r="F69" i="5" s="1"/>
  <c r="I69" i="5" s="1"/>
  <c r="P68" i="5"/>
  <c r="O68" i="5"/>
  <c r="E68" i="5"/>
  <c r="F68" i="5" s="1"/>
  <c r="I68" i="5" s="1"/>
  <c r="P67" i="5"/>
  <c r="O67" i="5"/>
  <c r="E67" i="5"/>
  <c r="F67" i="5" s="1"/>
  <c r="P66" i="5"/>
  <c r="O66" i="5"/>
  <c r="E66" i="5"/>
  <c r="F66" i="5" s="1"/>
  <c r="I66" i="5" s="1"/>
  <c r="P65" i="5"/>
  <c r="O65" i="5"/>
  <c r="E65" i="5"/>
  <c r="F65" i="5" s="1"/>
  <c r="I65" i="5" s="1"/>
  <c r="O58" i="5"/>
  <c r="P60" i="5"/>
  <c r="O60" i="5"/>
  <c r="P59" i="5"/>
  <c r="O59" i="5"/>
  <c r="P58" i="5"/>
  <c r="P57" i="5"/>
  <c r="O57" i="5"/>
  <c r="P56" i="5"/>
  <c r="O56" i="5"/>
  <c r="E60" i="5"/>
  <c r="F60" i="5" s="1"/>
  <c r="I60" i="5" s="1"/>
  <c r="E59" i="5"/>
  <c r="F59" i="5" s="1"/>
  <c r="I59" i="5" s="1"/>
  <c r="E58" i="5"/>
  <c r="F58" i="5" s="1"/>
  <c r="N58" i="5" s="1"/>
  <c r="E57" i="5"/>
  <c r="F57" i="5" s="1"/>
  <c r="I57" i="5" s="1"/>
  <c r="E56" i="5"/>
  <c r="F56" i="5" s="1"/>
  <c r="N56" i="5" s="1"/>
  <c r="P51" i="5"/>
  <c r="O51" i="5"/>
  <c r="E51" i="5"/>
  <c r="F51" i="5" s="1"/>
  <c r="I51" i="5" s="1"/>
  <c r="P50" i="5"/>
  <c r="O50" i="5"/>
  <c r="E50" i="5"/>
  <c r="F50" i="5" s="1"/>
  <c r="P49" i="5"/>
  <c r="O49" i="5"/>
  <c r="E49" i="5"/>
  <c r="F49" i="5" s="1"/>
  <c r="P48" i="5"/>
  <c r="O48" i="5"/>
  <c r="E48" i="5"/>
  <c r="F48" i="5" s="1"/>
  <c r="I48" i="5" s="1"/>
  <c r="P47" i="5"/>
  <c r="O47" i="5"/>
  <c r="E47" i="5"/>
  <c r="F47" i="5" s="1"/>
  <c r="I47" i="5" s="1"/>
  <c r="P42" i="5"/>
  <c r="O42" i="5"/>
  <c r="P41" i="5"/>
  <c r="O41" i="5"/>
  <c r="P40" i="5"/>
  <c r="O40" i="5"/>
  <c r="P39" i="5"/>
  <c r="O39" i="5"/>
  <c r="P38" i="5"/>
  <c r="O38" i="5"/>
  <c r="E42" i="5"/>
  <c r="F42" i="5" s="1"/>
  <c r="N42" i="5" s="1"/>
  <c r="E41" i="5"/>
  <c r="F41" i="5" s="1"/>
  <c r="N41" i="5" s="1"/>
  <c r="E40" i="5"/>
  <c r="F40" i="5" s="1"/>
  <c r="N40" i="5" s="1"/>
  <c r="E39" i="5"/>
  <c r="F39" i="5" s="1"/>
  <c r="N39" i="5" s="1"/>
  <c r="E38" i="5"/>
  <c r="F38" i="5" s="1"/>
  <c r="E30" i="5"/>
  <c r="F30" i="5" s="1"/>
  <c r="N30" i="5" s="1"/>
  <c r="E31" i="5"/>
  <c r="F31" i="5" s="1"/>
  <c r="E32" i="5"/>
  <c r="F32" i="5" s="1"/>
  <c r="E33" i="5"/>
  <c r="F33" i="5" s="1"/>
  <c r="O29" i="5"/>
  <c r="P33" i="5"/>
  <c r="O33" i="5"/>
  <c r="P32" i="5"/>
  <c r="O32" i="5"/>
  <c r="P31" i="5"/>
  <c r="O31" i="5"/>
  <c r="P30" i="5"/>
  <c r="O30" i="5"/>
  <c r="P29" i="5"/>
  <c r="E29" i="5"/>
  <c r="F29" i="5" s="1"/>
  <c r="N29" i="5" s="1"/>
  <c r="O19" i="5"/>
  <c r="P19" i="5"/>
  <c r="O20" i="5"/>
  <c r="P20" i="5"/>
  <c r="O21" i="5"/>
  <c r="P21" i="5"/>
  <c r="O22" i="5"/>
  <c r="P22" i="5"/>
  <c r="P18" i="5"/>
  <c r="O18" i="5"/>
  <c r="E19" i="5"/>
  <c r="F19" i="5" s="1"/>
  <c r="E20" i="5"/>
  <c r="F20" i="5" s="1"/>
  <c r="E21" i="5"/>
  <c r="F21" i="5" s="1"/>
  <c r="E22" i="5"/>
  <c r="F22" i="5" s="1"/>
  <c r="E18" i="5"/>
  <c r="F18" i="5" s="1"/>
  <c r="U20" i="4"/>
  <c r="S23" i="4"/>
  <c r="T20" i="4"/>
  <c r="S20" i="4"/>
  <c r="R20" i="4"/>
  <c r="Q20" i="4"/>
  <c r="P21" i="4"/>
  <c r="P22" i="4"/>
  <c r="P23" i="4"/>
  <c r="P20" i="4"/>
  <c r="R80" i="4"/>
  <c r="Q80" i="4"/>
  <c r="N80" i="4"/>
  <c r="M80" i="4"/>
  <c r="T80" i="4" s="1"/>
  <c r="R75" i="4"/>
  <c r="Q75" i="4"/>
  <c r="N75" i="4"/>
  <c r="M75" i="4"/>
  <c r="P75" i="4" s="1"/>
  <c r="P70" i="4"/>
  <c r="N70" i="4"/>
  <c r="M70" i="4"/>
  <c r="T70" i="4"/>
  <c r="S70" i="4"/>
  <c r="R70" i="4"/>
  <c r="Q70" i="4"/>
  <c r="T57" i="4"/>
  <c r="S57" i="4"/>
  <c r="R57" i="4"/>
  <c r="Q57" i="4"/>
  <c r="N57" i="4"/>
  <c r="P57" i="4" s="1"/>
  <c r="T56" i="4"/>
  <c r="S56" i="4"/>
  <c r="R56" i="4"/>
  <c r="Q56" i="4"/>
  <c r="N56" i="4"/>
  <c r="P56" i="4" s="1"/>
  <c r="T55" i="4"/>
  <c r="S55" i="4"/>
  <c r="R55" i="4"/>
  <c r="Q55" i="4"/>
  <c r="N55" i="4"/>
  <c r="P55" i="4" s="1"/>
  <c r="T54" i="4"/>
  <c r="S54" i="4"/>
  <c r="R54" i="4"/>
  <c r="Q54" i="4"/>
  <c r="N54" i="4"/>
  <c r="P54" i="4" s="1"/>
  <c r="T49" i="4"/>
  <c r="S49" i="4"/>
  <c r="R49" i="4"/>
  <c r="Q49" i="4"/>
  <c r="N49" i="4"/>
  <c r="P49" i="4" s="1"/>
  <c r="T48" i="4"/>
  <c r="S48" i="4"/>
  <c r="R48" i="4"/>
  <c r="Q48" i="4"/>
  <c r="N48" i="4"/>
  <c r="P48" i="4" s="1"/>
  <c r="T47" i="4"/>
  <c r="S47" i="4"/>
  <c r="R47" i="4"/>
  <c r="Q47" i="4"/>
  <c r="P47" i="4"/>
  <c r="N47" i="4"/>
  <c r="T46" i="4"/>
  <c r="S46" i="4"/>
  <c r="R46" i="4"/>
  <c r="Q46" i="4"/>
  <c r="N46" i="4"/>
  <c r="P46" i="4" s="1"/>
  <c r="T41" i="4"/>
  <c r="S41" i="4"/>
  <c r="N41" i="4"/>
  <c r="T40" i="4"/>
  <c r="S40" i="4"/>
  <c r="N40" i="4"/>
  <c r="T39" i="4"/>
  <c r="S39" i="4"/>
  <c r="N39" i="4"/>
  <c r="T38" i="4"/>
  <c r="S38" i="4"/>
  <c r="N38" i="4"/>
  <c r="P31" i="4"/>
  <c r="N31" i="4"/>
  <c r="N32" i="4"/>
  <c r="N30" i="4"/>
  <c r="T32" i="4"/>
  <c r="S32" i="4"/>
  <c r="O32" i="4"/>
  <c r="P32" i="4" s="1"/>
  <c r="T31" i="4"/>
  <c r="S31" i="4"/>
  <c r="O31" i="4"/>
  <c r="T30" i="4"/>
  <c r="S30" i="4"/>
  <c r="O30" i="4"/>
  <c r="P30" i="4" s="1"/>
  <c r="T21" i="4"/>
  <c r="T22" i="4"/>
  <c r="T23" i="4"/>
  <c r="S21" i="4"/>
  <c r="S22" i="4"/>
  <c r="N21" i="4"/>
  <c r="O21" i="4" s="1"/>
  <c r="N22" i="4"/>
  <c r="O22" i="4" s="1"/>
  <c r="N23" i="4"/>
  <c r="O23" i="4" s="1"/>
  <c r="N20" i="4"/>
  <c r="O20" i="4" s="1"/>
  <c r="H5" i="3"/>
  <c r="G5" i="3" s="1"/>
  <c r="I5" i="3"/>
  <c r="M5" i="3" s="1"/>
  <c r="J5" i="3"/>
  <c r="K5" i="3"/>
  <c r="L5" i="3"/>
  <c r="G6" i="3"/>
  <c r="H6" i="3"/>
  <c r="I6" i="3"/>
  <c r="J6" i="3"/>
  <c r="K6" i="3"/>
  <c r="M6" i="3" s="1"/>
  <c r="L6" i="3"/>
  <c r="G7" i="3"/>
  <c r="H7" i="3"/>
  <c r="I7" i="3"/>
  <c r="J7" i="3"/>
  <c r="K7" i="3"/>
  <c r="L7" i="3"/>
  <c r="M7" i="3"/>
  <c r="G8" i="3"/>
  <c r="H8" i="3"/>
  <c r="I8" i="3"/>
  <c r="J8" i="3"/>
  <c r="K8" i="3"/>
  <c r="L8" i="3"/>
  <c r="M8" i="3"/>
  <c r="H9" i="3"/>
  <c r="G9" i="3" s="1"/>
  <c r="J9" i="3"/>
  <c r="K9" i="3"/>
  <c r="L9" i="3"/>
  <c r="H14" i="3"/>
  <c r="I14" i="3" s="1"/>
  <c r="J14" i="3"/>
  <c r="K14" i="3"/>
  <c r="L14" i="3"/>
  <c r="H15" i="3"/>
  <c r="G15" i="3" s="1"/>
  <c r="G27" i="3" s="1"/>
  <c r="I15" i="3"/>
  <c r="J15" i="3"/>
  <c r="K15" i="3"/>
  <c r="L15" i="3"/>
  <c r="H16" i="3"/>
  <c r="G16" i="3" s="1"/>
  <c r="G28" i="3" s="1"/>
  <c r="I16" i="3"/>
  <c r="J16" i="3"/>
  <c r="K16" i="3"/>
  <c r="L16" i="3"/>
  <c r="H17" i="3"/>
  <c r="G17" i="3" s="1"/>
  <c r="G29" i="3" s="1"/>
  <c r="I17" i="3"/>
  <c r="J17" i="3"/>
  <c r="K17" i="3"/>
  <c r="L17" i="3"/>
  <c r="H18" i="3"/>
  <c r="G18" i="3" s="1"/>
  <c r="G30" i="3" s="1"/>
  <c r="I18" i="3"/>
  <c r="J18" i="3"/>
  <c r="K18" i="3"/>
  <c r="L18" i="3"/>
  <c r="H19" i="3"/>
  <c r="G19" i="3" s="1"/>
  <c r="G31" i="3" s="1"/>
  <c r="I19" i="3"/>
  <c r="J19" i="3"/>
  <c r="K19" i="3"/>
  <c r="L19" i="3"/>
  <c r="H20" i="3"/>
  <c r="G20" i="3" s="1"/>
  <c r="G32" i="3" s="1"/>
  <c r="I20" i="3"/>
  <c r="J20" i="3"/>
  <c r="K20" i="3"/>
  <c r="L20" i="3"/>
  <c r="G21" i="3"/>
  <c r="G33" i="3" s="1"/>
  <c r="H21" i="3"/>
  <c r="I21" i="3" s="1"/>
  <c r="J21" i="3"/>
  <c r="K21" i="3"/>
  <c r="L21" i="3"/>
  <c r="H26" i="3"/>
  <c r="G26" i="3" s="1"/>
  <c r="I26" i="3"/>
  <c r="J26" i="3"/>
  <c r="K26" i="3"/>
  <c r="L26" i="3"/>
  <c r="H27" i="3"/>
  <c r="I27" i="3"/>
  <c r="J27" i="3"/>
  <c r="K27" i="3"/>
  <c r="L27" i="3"/>
  <c r="H28" i="3"/>
  <c r="I28" i="3"/>
  <c r="J28" i="3"/>
  <c r="K28" i="3"/>
  <c r="L28" i="3"/>
  <c r="H29" i="3"/>
  <c r="I29" i="3"/>
  <c r="J29" i="3"/>
  <c r="K29" i="3"/>
  <c r="L29" i="3"/>
  <c r="H30" i="3"/>
  <c r="I30" i="3"/>
  <c r="J30" i="3"/>
  <c r="K30" i="3"/>
  <c r="L30" i="3"/>
  <c r="H31" i="3"/>
  <c r="I31" i="3"/>
  <c r="J31" i="3"/>
  <c r="K31" i="3"/>
  <c r="L31" i="3"/>
  <c r="H32" i="3"/>
  <c r="I32" i="3"/>
  <c r="J32" i="3"/>
  <c r="K32" i="3"/>
  <c r="L32" i="3"/>
  <c r="H33" i="3"/>
  <c r="I33" i="3"/>
  <c r="J33" i="3"/>
  <c r="K33" i="3"/>
  <c r="L33" i="3"/>
  <c r="G34" i="3"/>
  <c r="H34" i="3"/>
  <c r="I34" i="3" s="1"/>
  <c r="J34" i="3"/>
  <c r="K34" i="3"/>
  <c r="L34" i="3"/>
  <c r="H39" i="3"/>
  <c r="G39" i="3" s="1"/>
  <c r="I39" i="3"/>
  <c r="J39" i="3"/>
  <c r="K39" i="3"/>
  <c r="L39" i="3"/>
  <c r="H40" i="3"/>
  <c r="G40" i="3" s="1"/>
  <c r="I40" i="3"/>
  <c r="J40" i="3"/>
  <c r="K40" i="3"/>
  <c r="L40" i="3"/>
  <c r="H41" i="3"/>
  <c r="G41" i="3" s="1"/>
  <c r="I41" i="3"/>
  <c r="J41" i="3"/>
  <c r="K41" i="3"/>
  <c r="L41" i="3"/>
  <c r="H42" i="3"/>
  <c r="G42" i="3" s="1"/>
  <c r="I42" i="3"/>
  <c r="J42" i="3"/>
  <c r="K42" i="3"/>
  <c r="L42" i="3"/>
  <c r="H43" i="3"/>
  <c r="G43" i="3" s="1"/>
  <c r="I43" i="3"/>
  <c r="J43" i="3"/>
  <c r="K43" i="3"/>
  <c r="L43" i="3"/>
  <c r="H44" i="3"/>
  <c r="G44" i="3" s="1"/>
  <c r="I44" i="3"/>
  <c r="J44" i="3"/>
  <c r="K44" i="3"/>
  <c r="L44" i="3"/>
  <c r="G45" i="3"/>
  <c r="H45" i="3"/>
  <c r="I45" i="3" s="1"/>
  <c r="J45" i="3"/>
  <c r="K45" i="3"/>
  <c r="L45" i="3"/>
  <c r="H46" i="3"/>
  <c r="G46" i="3" s="1"/>
  <c r="I46" i="3"/>
  <c r="J46" i="3"/>
  <c r="K46" i="3"/>
  <c r="L46" i="3"/>
  <c r="H47" i="3"/>
  <c r="G47" i="3" s="1"/>
  <c r="I47" i="3"/>
  <c r="J47" i="3"/>
  <c r="K47" i="3"/>
  <c r="L47" i="3"/>
  <c r="J19" i="2"/>
  <c r="J23" i="2"/>
  <c r="I23" i="2"/>
  <c r="M18" i="2"/>
  <c r="M19" i="2"/>
  <c r="K23" i="2" s="1"/>
  <c r="M23" i="2" s="1"/>
  <c r="M17" i="2"/>
  <c r="K19" i="2"/>
  <c r="K18" i="2"/>
  <c r="K17" i="2"/>
  <c r="J17" i="2"/>
  <c r="L12" i="2"/>
  <c r="L13" i="2"/>
  <c r="L11" i="2"/>
  <c r="J18" i="2"/>
  <c r="I19" i="2"/>
  <c r="I18" i="2"/>
  <c r="I17" i="2"/>
  <c r="J11" i="2"/>
  <c r="J12" i="2"/>
  <c r="J13" i="2"/>
  <c r="I11" i="2"/>
  <c r="I12" i="2"/>
  <c r="I13" i="2"/>
  <c r="D4" i="1"/>
  <c r="D5" i="1"/>
  <c r="D6" i="1"/>
  <c r="D7" i="1"/>
  <c r="D8" i="1"/>
  <c r="D9" i="1"/>
  <c r="D10" i="1"/>
  <c r="D11" i="1"/>
  <c r="D12" i="1"/>
  <c r="D3" i="1"/>
  <c r="E75" i="5" l="1"/>
  <c r="I32" i="5"/>
  <c r="N32" i="5"/>
  <c r="N38" i="5"/>
  <c r="I38" i="5"/>
  <c r="I18" i="5"/>
  <c r="H18" i="5"/>
  <c r="N18" i="5"/>
  <c r="H39" i="5"/>
  <c r="N59" i="5"/>
  <c r="N60" i="5"/>
  <c r="N194" i="5"/>
  <c r="I194" i="5"/>
  <c r="H194" i="5"/>
  <c r="N189" i="5"/>
  <c r="I189" i="5"/>
  <c r="H189" i="5"/>
  <c r="H179" i="5"/>
  <c r="N179" i="5"/>
  <c r="I184" i="5"/>
  <c r="H184" i="5"/>
  <c r="N184" i="5"/>
  <c r="N174" i="5"/>
  <c r="I174" i="5"/>
  <c r="H174" i="5"/>
  <c r="N50" i="5"/>
  <c r="I50" i="5"/>
  <c r="H88" i="5"/>
  <c r="I88" i="5"/>
  <c r="I33" i="5"/>
  <c r="N33" i="5"/>
  <c r="I31" i="5"/>
  <c r="N31" i="5"/>
  <c r="N22" i="5"/>
  <c r="H22" i="5"/>
  <c r="L22" i="5" s="1"/>
  <c r="I22" i="5"/>
  <c r="N21" i="5"/>
  <c r="H21" i="5"/>
  <c r="I21" i="5"/>
  <c r="N20" i="5"/>
  <c r="H20" i="5"/>
  <c r="I20" i="5"/>
  <c r="H19" i="5"/>
  <c r="I19" i="5"/>
  <c r="N19" i="5"/>
  <c r="I56" i="5"/>
  <c r="N57" i="5"/>
  <c r="I29" i="5"/>
  <c r="I58" i="5"/>
  <c r="I30" i="5"/>
  <c r="I39" i="5"/>
  <c r="H156" i="5"/>
  <c r="I156" i="5"/>
  <c r="N148" i="5"/>
  <c r="I85" i="5"/>
  <c r="H85" i="5"/>
  <c r="H139" i="5"/>
  <c r="I139" i="5"/>
  <c r="N139" i="5"/>
  <c r="I150" i="5"/>
  <c r="H150" i="5"/>
  <c r="N150" i="5"/>
  <c r="N158" i="5"/>
  <c r="I158" i="5"/>
  <c r="H158" i="5"/>
  <c r="N140" i="5"/>
  <c r="I140" i="5"/>
  <c r="H140" i="5"/>
  <c r="N159" i="5"/>
  <c r="I159" i="5"/>
  <c r="H159" i="5"/>
  <c r="N151" i="5"/>
  <c r="H151" i="5"/>
  <c r="I151" i="5"/>
  <c r="I149" i="5"/>
  <c r="H149" i="5"/>
  <c r="N149" i="5"/>
  <c r="I138" i="5"/>
  <c r="H138" i="5"/>
  <c r="N138" i="5"/>
  <c r="I160" i="5"/>
  <c r="H160" i="5"/>
  <c r="N160" i="5"/>
  <c r="N142" i="5"/>
  <c r="I142" i="5"/>
  <c r="H142" i="5"/>
  <c r="N157" i="5"/>
  <c r="I157" i="5"/>
  <c r="H157" i="5"/>
  <c r="N147" i="5"/>
  <c r="H147" i="5"/>
  <c r="I147" i="5"/>
  <c r="I141" i="5"/>
  <c r="H141" i="5"/>
  <c r="H148" i="5"/>
  <c r="I121" i="5"/>
  <c r="H121" i="5"/>
  <c r="N121" i="5"/>
  <c r="I122" i="5"/>
  <c r="N122" i="5"/>
  <c r="H122" i="5"/>
  <c r="I123" i="5"/>
  <c r="N123" i="5"/>
  <c r="H123" i="5"/>
  <c r="I120" i="5"/>
  <c r="H120" i="5"/>
  <c r="N120" i="5"/>
  <c r="N124" i="5"/>
  <c r="I124" i="5"/>
  <c r="H124" i="5"/>
  <c r="I112" i="5"/>
  <c r="H112" i="5"/>
  <c r="N112" i="5"/>
  <c r="I113" i="5"/>
  <c r="H113" i="5"/>
  <c r="N113" i="5"/>
  <c r="N111" i="5"/>
  <c r="I111" i="5"/>
  <c r="H111" i="5"/>
  <c r="N114" i="5"/>
  <c r="I114" i="5"/>
  <c r="H114" i="5"/>
  <c r="I115" i="5"/>
  <c r="H115" i="5"/>
  <c r="N115" i="5"/>
  <c r="N104" i="5"/>
  <c r="I104" i="5"/>
  <c r="H104" i="5"/>
  <c r="I102" i="5"/>
  <c r="H102" i="5"/>
  <c r="N102" i="5"/>
  <c r="N106" i="5"/>
  <c r="I106" i="5"/>
  <c r="H106" i="5"/>
  <c r="H103" i="5"/>
  <c r="N103" i="5"/>
  <c r="I103" i="5"/>
  <c r="N105" i="5"/>
  <c r="H105" i="5"/>
  <c r="N94" i="5"/>
  <c r="I94" i="5"/>
  <c r="H94" i="5"/>
  <c r="N95" i="5"/>
  <c r="I95" i="5"/>
  <c r="H95" i="5"/>
  <c r="N93" i="5"/>
  <c r="I93" i="5"/>
  <c r="H93" i="5"/>
  <c r="N96" i="5"/>
  <c r="I96" i="5"/>
  <c r="H96" i="5"/>
  <c r="N97" i="5"/>
  <c r="I97" i="5"/>
  <c r="H97" i="5"/>
  <c r="H87" i="5"/>
  <c r="I87" i="5"/>
  <c r="N86" i="5"/>
  <c r="I86" i="5"/>
  <c r="H86" i="5"/>
  <c r="N87" i="5"/>
  <c r="N88" i="5"/>
  <c r="H84" i="5"/>
  <c r="N84" i="5"/>
  <c r="I84" i="5"/>
  <c r="H66" i="5"/>
  <c r="L66" i="5" s="1"/>
  <c r="N66" i="5"/>
  <c r="N67" i="5"/>
  <c r="H67" i="5"/>
  <c r="N68" i="5"/>
  <c r="H68" i="5"/>
  <c r="H69" i="5"/>
  <c r="N69" i="5"/>
  <c r="N65" i="5"/>
  <c r="H65" i="5"/>
  <c r="L65" i="5" s="1"/>
  <c r="H58" i="5"/>
  <c r="H60" i="5"/>
  <c r="H56" i="5"/>
  <c r="H57" i="5"/>
  <c r="H59" i="5"/>
  <c r="H50" i="5"/>
  <c r="N49" i="5"/>
  <c r="H49" i="5"/>
  <c r="N47" i="5"/>
  <c r="H47" i="5"/>
  <c r="H48" i="5"/>
  <c r="N48" i="5"/>
  <c r="N51" i="5"/>
  <c r="H51" i="5"/>
  <c r="H38" i="5"/>
  <c r="H41" i="5"/>
  <c r="H40" i="5"/>
  <c r="H42" i="5"/>
  <c r="H29" i="5"/>
  <c r="H30" i="5"/>
  <c r="H31" i="5"/>
  <c r="H32" i="5"/>
  <c r="H33" i="5"/>
  <c r="P80" i="4"/>
  <c r="S80" i="4"/>
  <c r="S75" i="4"/>
  <c r="T75" i="4"/>
  <c r="R38" i="4"/>
  <c r="Q38" i="4"/>
  <c r="P38" i="4"/>
  <c r="Q39" i="4"/>
  <c r="P39" i="4"/>
  <c r="R39" i="4"/>
  <c r="Q41" i="4"/>
  <c r="R41" i="4"/>
  <c r="P41" i="4"/>
  <c r="Q40" i="4"/>
  <c r="P40" i="4"/>
  <c r="R40" i="4"/>
  <c r="Q32" i="4"/>
  <c r="R32" i="4"/>
  <c r="R31" i="4"/>
  <c r="Q31" i="4"/>
  <c r="R30" i="4"/>
  <c r="Q30" i="4"/>
  <c r="Q23" i="4"/>
  <c r="U23" i="4" s="1"/>
  <c r="R23" i="4"/>
  <c r="Q22" i="4"/>
  <c r="R22" i="4"/>
  <c r="R21" i="4"/>
  <c r="Q21" i="4"/>
  <c r="U21" i="4" s="1"/>
  <c r="M14" i="3"/>
  <c r="M16" i="3"/>
  <c r="M18" i="3"/>
  <c r="M19" i="3"/>
  <c r="M15" i="3"/>
  <c r="M47" i="3" s="1"/>
  <c r="M20" i="3"/>
  <c r="M17" i="3"/>
  <c r="M21" i="3"/>
  <c r="M45" i="3" s="1"/>
  <c r="I9" i="3"/>
  <c r="M9" i="3" s="1"/>
  <c r="G14" i="3"/>
  <c r="L20" i="5" l="1"/>
  <c r="L48" i="5" s="1"/>
  <c r="L49" i="5"/>
  <c r="L69" i="5"/>
  <c r="L67" i="5"/>
  <c r="L68" i="5"/>
  <c r="L21" i="5"/>
  <c r="L30" i="5"/>
  <c r="L29" i="5"/>
  <c r="L19" i="5"/>
  <c r="L39" i="5"/>
  <c r="U39" i="4"/>
  <c r="U41" i="4"/>
  <c r="U38" i="4"/>
  <c r="U40" i="4"/>
  <c r="U56" i="4"/>
  <c r="U55" i="4"/>
  <c r="U57" i="4"/>
  <c r="U54" i="4"/>
  <c r="U31" i="4"/>
  <c r="U32" i="4"/>
  <c r="U30" i="4"/>
  <c r="U22" i="4"/>
  <c r="M29" i="3"/>
  <c r="M40" i="3"/>
  <c r="M31" i="3"/>
  <c r="M32" i="3"/>
  <c r="M30" i="3"/>
  <c r="M43" i="3"/>
  <c r="M28" i="3"/>
  <c r="M39" i="3"/>
  <c r="M26" i="3"/>
  <c r="M46" i="3"/>
  <c r="M33" i="3"/>
  <c r="M44" i="3"/>
  <c r="M27" i="3"/>
  <c r="M34" i="3"/>
  <c r="M42" i="3"/>
  <c r="M41" i="3"/>
  <c r="L50" i="5" l="1"/>
  <c r="L47" i="5"/>
  <c r="L51" i="5"/>
  <c r="L58" i="5"/>
  <c r="L57" i="5"/>
  <c r="E74" i="5" s="1"/>
  <c r="L60" i="5"/>
  <c r="E77" i="5" s="1"/>
  <c r="L56" i="5"/>
  <c r="L38" i="5"/>
  <c r="L41" i="5"/>
  <c r="L40" i="5"/>
  <c r="L59" i="5"/>
  <c r="U48" i="4"/>
  <c r="U49" i="4"/>
  <c r="U47" i="4"/>
  <c r="U46" i="4"/>
  <c r="N62" i="4"/>
  <c r="U80" i="4" s="1"/>
  <c r="N63" i="4"/>
  <c r="N60" i="4"/>
  <c r="U70" i="4" s="1"/>
  <c r="N61" i="4"/>
  <c r="U75" i="4" s="1"/>
  <c r="L97" i="5" l="1"/>
  <c r="L96" i="5"/>
  <c r="L106" i="5"/>
  <c r="L87" i="5"/>
  <c r="L88" i="5"/>
  <c r="E76" i="5"/>
  <c r="E128" i="5"/>
  <c r="E129" i="5"/>
  <c r="E131" i="5"/>
  <c r="E132" i="5" l="1"/>
  <c r="L157" i="5" s="1"/>
  <c r="L140" i="5"/>
  <c r="L141" i="5"/>
  <c r="L139" i="5"/>
  <c r="L138" i="5"/>
  <c r="L151" i="5"/>
  <c r="L148" i="5"/>
  <c r="L149" i="5"/>
  <c r="L150" i="5"/>
  <c r="L147" i="5"/>
  <c r="L156" i="5" l="1"/>
  <c r="E164" i="5" s="1"/>
  <c r="L174" i="5" s="1"/>
  <c r="L160" i="5"/>
  <c r="L159" i="5"/>
  <c r="L158" i="5"/>
  <c r="E168" i="5"/>
  <c r="L194" i="5" s="1"/>
  <c r="E167" i="5"/>
  <c r="L189" i="5" s="1"/>
  <c r="E166" i="5"/>
  <c r="L184" i="5" s="1"/>
  <c r="E165" i="5"/>
  <c r="L179" i="5" s="1"/>
  <c r="E198" i="5" l="1"/>
</calcChain>
</file>

<file path=xl/sharedStrings.xml><?xml version="1.0" encoding="utf-8"?>
<sst xmlns="http://schemas.openxmlformats.org/spreadsheetml/2006/main" count="546" uniqueCount="120">
  <si>
    <t>Længde i</t>
  </si>
  <si>
    <t>pris i</t>
  </si>
  <si>
    <t>pris/længde</t>
  </si>
  <si>
    <t>Stage 9</t>
  </si>
  <si>
    <t>stage i</t>
  </si>
  <si>
    <t>A</t>
  </si>
  <si>
    <t>Stage 4</t>
  </si>
  <si>
    <t>H</t>
  </si>
  <si>
    <t>I</t>
  </si>
  <si>
    <t>J</t>
  </si>
  <si>
    <t>Stage 3</t>
  </si>
  <si>
    <t>E</t>
  </si>
  <si>
    <t>F</t>
  </si>
  <si>
    <t>G</t>
  </si>
  <si>
    <t>Fra/til</t>
  </si>
  <si>
    <t xml:space="preserve">Omkostninger i midten af tabellerne </t>
  </si>
  <si>
    <t>Stage 2</t>
  </si>
  <si>
    <t>B</t>
  </si>
  <si>
    <t>C</t>
  </si>
  <si>
    <t>D</t>
  </si>
  <si>
    <t>min</t>
  </si>
  <si>
    <t>Stage 1</t>
  </si>
  <si>
    <t>Optimale ruter</t>
  </si>
  <si>
    <t>Nr 1</t>
  </si>
  <si>
    <t>Nr 2</t>
  </si>
  <si>
    <t>A -&gt; C -&gt; E -&gt; H -&gt; J</t>
  </si>
  <si>
    <t>A -&gt; D -&gt; E -&gt; H -&gt; J</t>
  </si>
  <si>
    <t>Nr 3</t>
  </si>
  <si>
    <t>A -&gt; D -&gt; F -&gt; I  -&gt; J</t>
  </si>
  <si>
    <t>Informationsoversigt</t>
  </si>
  <si>
    <t>Produktionsomkostninger pr. enhed produceret</t>
  </si>
  <si>
    <t>Salgspris pr. enhed</t>
  </si>
  <si>
    <t>Opstartsomkostninger pr. season</t>
  </si>
  <si>
    <t>Informationsoversigt for enheder</t>
  </si>
  <si>
    <t>Antal enheder som skal produceres af gangen</t>
  </si>
  <si>
    <t>Værdi forringelse pr. enhed mellem hver season</t>
  </si>
  <si>
    <t xml:space="preserve">Maksimal lagerplads </t>
  </si>
  <si>
    <t>Forventet efterspørgsel</t>
  </si>
  <si>
    <t>Season</t>
  </si>
  <si>
    <t>Man vil maksimerer indtægter</t>
  </si>
  <si>
    <t>Season 4</t>
  </si>
  <si>
    <t>Produceret</t>
  </si>
  <si>
    <t>Profit</t>
  </si>
  <si>
    <t>Demand</t>
  </si>
  <si>
    <t>Variable omkostninger</t>
  </si>
  <si>
    <t>Lager omkostninger</t>
  </si>
  <si>
    <t>Indtægter</t>
  </si>
  <si>
    <t>Fasteomkostninger</t>
  </si>
  <si>
    <t>Maks profit forekommer ved intet at producerer i sidste periode</t>
  </si>
  <si>
    <t>Lager forrige periode</t>
  </si>
  <si>
    <t>Lager til næste periode</t>
  </si>
  <si>
    <t>Lager fra forrige periode</t>
  </si>
  <si>
    <t>Dermed skal de være 400 på lager fra forrige periode</t>
  </si>
  <si>
    <t>Maks profit forekommer ved intet at producerer i denne periode</t>
  </si>
  <si>
    <t>Dermed skal der være 300 på lager, fra forrige periode</t>
  </si>
  <si>
    <t>Season 3</t>
  </si>
  <si>
    <t>Season 2</t>
  </si>
  <si>
    <t>Season 1</t>
  </si>
  <si>
    <t>Maks køb pr. dag</t>
  </si>
  <si>
    <t>Faste omkostnigner ved køb</t>
  </si>
  <si>
    <t>stk</t>
  </si>
  <si>
    <t>kroner</t>
  </si>
  <si>
    <t>Maks lagerplads</t>
  </si>
  <si>
    <t>Faste lageromkostninger</t>
  </si>
  <si>
    <t>Variable lageromkostninger</t>
  </si>
  <si>
    <t>Startlager</t>
  </si>
  <si>
    <t>Efterspørgsel</t>
  </si>
  <si>
    <t>Periode</t>
  </si>
  <si>
    <t>efterspørgsel</t>
  </si>
  <si>
    <t>Nødvendig produktion</t>
  </si>
  <si>
    <t>Variable omkostnigner</t>
  </si>
  <si>
    <t>Faste omkostninger</t>
  </si>
  <si>
    <t>Omkostninger i alt</t>
  </si>
  <si>
    <t>Case 1</t>
  </si>
  <si>
    <t>Case 2</t>
  </si>
  <si>
    <t>Case 3</t>
  </si>
  <si>
    <t>Case 4</t>
  </si>
  <si>
    <t>Minimum omkostning</t>
  </si>
  <si>
    <t>Optimal produktionsplan</t>
  </si>
  <si>
    <t>Periode 1</t>
  </si>
  <si>
    <t>Periode 2</t>
  </si>
  <si>
    <t>Periode 3</t>
  </si>
  <si>
    <t>Maks prod</t>
  </si>
  <si>
    <t xml:space="preserve">Antal prod af gangen </t>
  </si>
  <si>
    <t>euro</t>
  </si>
  <si>
    <t>Euro</t>
  </si>
  <si>
    <t>Stk</t>
  </si>
  <si>
    <t xml:space="preserve">Variable omkostninger </t>
  </si>
  <si>
    <t>Pr. måned</t>
  </si>
  <si>
    <t>Pr. stk</t>
  </si>
  <si>
    <t xml:space="preserve">Lagerkapacitet </t>
  </si>
  <si>
    <t>Informationsoversigt:</t>
  </si>
  <si>
    <t>Måned</t>
  </si>
  <si>
    <t>Stage</t>
  </si>
  <si>
    <t>April</t>
  </si>
  <si>
    <t>Maj</t>
  </si>
  <si>
    <t>Juni</t>
  </si>
  <si>
    <t>Juli</t>
  </si>
  <si>
    <t>August</t>
  </si>
  <si>
    <t>Stage 5</t>
  </si>
  <si>
    <t>Samlede omkostninger</t>
  </si>
  <si>
    <t>Maks prod overholdt?</t>
  </si>
  <si>
    <t>Maks kap overholdt</t>
  </si>
  <si>
    <t>Næste periode</t>
  </si>
  <si>
    <t>Forrige periode</t>
  </si>
  <si>
    <t>Minimums oversigt</t>
  </si>
  <si>
    <t>Minimale omkostninger</t>
  </si>
  <si>
    <t>Case 5</t>
  </si>
  <si>
    <t>Optimale produktionsplan</t>
  </si>
  <si>
    <t>Isar 2</t>
  </si>
  <si>
    <t>Brokdorf</t>
  </si>
  <si>
    <t>Neckawestheim</t>
  </si>
  <si>
    <t>Hold til næste stage</t>
  </si>
  <si>
    <t>Hold fra forrige stage</t>
  </si>
  <si>
    <t>Profit denne stage</t>
  </si>
  <si>
    <t>Hold denne stage</t>
  </si>
  <si>
    <t>Hold til denne stage/hold til næste stage</t>
  </si>
  <si>
    <t>Hold næste stage</t>
  </si>
  <si>
    <t>Optimal holdfordeling</t>
  </si>
  <si>
    <t>Antal hold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</si>
</sst>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kr.&quot;_-;\-* #,##0.00\ &quot;kr.&quot;_-;_-* &quot;-&quot;??\ &quot;kr.&quot;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7">
    <xf numFmtId="0" fontId="0" fillId="0" borderId="0" xfId="0"/>
    <xf numFmtId="2" fontId="0" fillId="0" borderId="0" xfId="0" applyNumberFormat="1"/>
    <xf numFmtId="0" fontId="0" fillId="3" borderId="0" xfId="0" applyFill="1"/>
    <xf numFmtId="44" fontId="0" fillId="0" borderId="0" xfId="1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2" fillId="0" borderId="7" xfId="0" applyFont="1" applyBorder="1"/>
    <xf numFmtId="44" fontId="0" fillId="0" borderId="0" xfId="0" applyNumberFormat="1"/>
    <xf numFmtId="44" fontId="0" fillId="0" borderId="0" xfId="1" applyFont="1" applyBorder="1"/>
    <xf numFmtId="44" fontId="0" fillId="0" borderId="4" xfId="1" applyFont="1" applyBorder="1"/>
    <xf numFmtId="44" fontId="0" fillId="0" borderId="8" xfId="0" applyNumberFormat="1" applyBorder="1"/>
    <xf numFmtId="44" fontId="0" fillId="0" borderId="8" xfId="1" applyFont="1" applyBorder="1"/>
    <xf numFmtId="44" fontId="0" fillId="0" borderId="6" xfId="1" applyFont="1" applyBorder="1"/>
    <xf numFmtId="0" fontId="2" fillId="0" borderId="9" xfId="0" applyFont="1" applyBorder="1"/>
    <xf numFmtId="44" fontId="0" fillId="0" borderId="10" xfId="1" applyFont="1" applyBorder="1"/>
    <xf numFmtId="44" fontId="0" fillId="0" borderId="11" xfId="1" applyFont="1" applyBorder="1"/>
    <xf numFmtId="0" fontId="0" fillId="0" borderId="8" xfId="0" applyBorder="1"/>
    <xf numFmtId="0" fontId="2" fillId="0" borderId="12" xfId="0" applyFont="1" applyBorder="1"/>
    <xf numFmtId="0" fontId="2" fillId="0" borderId="13" xfId="0" applyFont="1" applyBorder="1"/>
    <xf numFmtId="0" fontId="0" fillId="0" borderId="14" xfId="0" applyBorder="1"/>
    <xf numFmtId="0" fontId="2" fillId="0" borderId="14" xfId="0" applyFont="1" applyBorder="1"/>
    <xf numFmtId="0" fontId="0" fillId="0" borderId="12" xfId="0" applyBorder="1"/>
    <xf numFmtId="44" fontId="0" fillId="0" borderId="13" xfId="0" applyNumberFormat="1" applyBorder="1"/>
    <xf numFmtId="44" fontId="0" fillId="0" borderId="13" xfId="1" applyFont="1" applyBorder="1"/>
    <xf numFmtId="44" fontId="0" fillId="0" borderId="14" xfId="1" applyFont="1" applyBorder="1"/>
    <xf numFmtId="0" fontId="2" fillId="0" borderId="15" xfId="0" applyFont="1" applyBorder="1"/>
    <xf numFmtId="44" fontId="0" fillId="0" borderId="15" xfId="1" applyFont="1" applyBorder="1"/>
    <xf numFmtId="0" fontId="0" fillId="0" borderId="13" xfId="0" applyBorder="1"/>
    <xf numFmtId="44" fontId="0" fillId="4" borderId="11" xfId="1" applyFont="1" applyFill="1" applyBorder="1"/>
    <xf numFmtId="0" fontId="3" fillId="2" borderId="6" xfId="0" applyFont="1" applyFill="1" applyBorder="1"/>
    <xf numFmtId="0" fontId="3" fillId="2" borderId="0" xfId="0" applyFont="1" applyFill="1"/>
    <xf numFmtId="0" fontId="0" fillId="2" borderId="4" xfId="0" applyFill="1" applyBorder="1"/>
    <xf numFmtId="0" fontId="0" fillId="0" borderId="16" xfId="0" applyBorder="1"/>
    <xf numFmtId="0" fontId="0" fillId="0" borderId="0" xfId="0" applyBorder="1"/>
    <xf numFmtId="0" fontId="0" fillId="0" borderId="17" xfId="0" applyBorder="1"/>
    <xf numFmtId="0" fontId="2" fillId="0" borderId="18" xfId="0" applyFont="1" applyBorder="1"/>
    <xf numFmtId="0" fontId="2" fillId="0" borderId="1" xfId="0" applyFont="1" applyFill="1" applyBorder="1"/>
    <xf numFmtId="0" fontId="2" fillId="0" borderId="7" xfId="0" applyFont="1" applyFill="1" applyBorder="1"/>
    <xf numFmtId="0" fontId="2" fillId="0" borderId="2" xfId="0" applyFont="1" applyFill="1" applyBorder="1"/>
    <xf numFmtId="0" fontId="4" fillId="0" borderId="3" xfId="0" applyFont="1" applyBorder="1"/>
    <xf numFmtId="0" fontId="4" fillId="0" borderId="0" xfId="0" applyFont="1" applyBorder="1"/>
    <xf numFmtId="0" fontId="4" fillId="0" borderId="16" xfId="0" applyFont="1" applyBorder="1"/>
    <xf numFmtId="0" fontId="4" fillId="0" borderId="4" xfId="0" applyFont="1" applyBorder="1"/>
    <xf numFmtId="0" fontId="4" fillId="0" borderId="5" xfId="0" applyFont="1" applyBorder="1"/>
    <xf numFmtId="0" fontId="4" fillId="0" borderId="8" xfId="0" applyFont="1" applyBorder="1"/>
    <xf numFmtId="0" fontId="4" fillId="0" borderId="17" xfId="0" applyFont="1" applyBorder="1"/>
    <xf numFmtId="0" fontId="4" fillId="0" borderId="6" xfId="0" applyFont="1" applyBorder="1"/>
    <xf numFmtId="0" fontId="2" fillId="0" borderId="4" xfId="0" applyFont="1" applyBorder="1"/>
    <xf numFmtId="0" fontId="3" fillId="0" borderId="3" xfId="0" applyFont="1" applyBorder="1"/>
    <xf numFmtId="0" fontId="3" fillId="0" borderId="0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8" xfId="0" applyFont="1" applyBorder="1"/>
    <xf numFmtId="0" fontId="3" fillId="0" borderId="6" xfId="0" applyFont="1" applyBorder="1"/>
    <xf numFmtId="0" fontId="3" fillId="0" borderId="17" xfId="0" applyFont="1" applyBorder="1"/>
    <xf numFmtId="0" fontId="0" fillId="0" borderId="0" xfId="0" applyFill="1" applyBorder="1"/>
    <xf numFmtId="0" fontId="3" fillId="0" borderId="0" xfId="0" applyFont="1"/>
    <xf numFmtId="0" fontId="3" fillId="0" borderId="16" xfId="0" applyFont="1" applyBorder="1"/>
    <xf numFmtId="0" fontId="5" fillId="0" borderId="1" xfId="0" applyFont="1" applyBorder="1"/>
    <xf numFmtId="0" fontId="5" fillId="0" borderId="7" xfId="0" applyFont="1" applyBorder="1"/>
    <xf numFmtId="0" fontId="5" fillId="0" borderId="18" xfId="0" applyFont="1" applyBorder="1"/>
    <xf numFmtId="0" fontId="5" fillId="0" borderId="2" xfId="0" applyFont="1" applyBorder="1"/>
    <xf numFmtId="0" fontId="5" fillId="0" borderId="1" xfId="0" applyFont="1" applyFill="1" applyBorder="1"/>
    <xf numFmtId="0" fontId="5" fillId="0" borderId="7" xfId="0" applyFont="1" applyFill="1" applyBorder="1"/>
    <xf numFmtId="0" fontId="5" fillId="0" borderId="2" xfId="0" applyFont="1" applyFill="1" applyBorder="1"/>
    <xf numFmtId="0" fontId="3" fillId="0" borderId="12" xfId="0" applyFont="1" applyBorder="1"/>
    <xf numFmtId="0" fontId="3" fillId="0" borderId="14" xfId="0" applyFont="1" applyBorder="1"/>
    <xf numFmtId="0" fontId="0" fillId="2" borderId="5" xfId="0" applyFill="1" applyBorder="1"/>
    <xf numFmtId="0" fontId="0" fillId="2" borderId="6" xfId="0" applyFill="1" applyBorder="1"/>
    <xf numFmtId="0" fontId="0" fillId="2" borderId="0" xfId="0" applyFill="1" applyBorder="1"/>
    <xf numFmtId="0" fontId="3" fillId="2" borderId="5" xfId="0" applyFont="1" applyFill="1" applyBorder="1"/>
    <xf numFmtId="0" fontId="3" fillId="2" borderId="8" xfId="0" applyFont="1" applyFill="1" applyBorder="1"/>
    <xf numFmtId="0" fontId="0" fillId="2" borderId="3" xfId="0" applyFill="1" applyBorder="1"/>
    <xf numFmtId="0" fontId="3" fillId="0" borderId="5" xfId="0" applyFont="1" applyFill="1" applyBorder="1"/>
    <xf numFmtId="0" fontId="3" fillId="0" borderId="6" xfId="0" applyFont="1" applyFill="1" applyBorder="1"/>
    <xf numFmtId="0" fontId="3" fillId="2" borderId="3" xfId="0" applyFont="1" applyFill="1" applyBorder="1"/>
    <xf numFmtId="0" fontId="3" fillId="2" borderId="4" xfId="0" applyFont="1" applyFill="1" applyBorder="1"/>
    <xf numFmtId="0" fontId="3" fillId="0" borderId="8" xfId="0" applyFont="1" applyFill="1" applyBorder="1"/>
    <xf numFmtId="0" fontId="3" fillId="0" borderId="17" xfId="0" applyFont="1" applyFill="1" applyBorder="1"/>
    <xf numFmtId="0" fontId="0" fillId="0" borderId="3" xfId="0" applyFill="1" applyBorder="1"/>
    <xf numFmtId="0" fontId="0" fillId="0" borderId="4" xfId="0" applyFill="1" applyBorder="1"/>
    <xf numFmtId="0" fontId="0" fillId="0" borderId="16" xfId="0" applyFill="1" applyBorder="1"/>
    <xf numFmtId="0" fontId="0" fillId="2" borderId="8" xfId="0" applyFill="1" applyBorder="1"/>
    <xf numFmtId="0" fontId="0" fillId="5" borderId="0" xfId="0" applyFill="1" applyBorder="1"/>
    <xf numFmtId="0" fontId="0" fillId="5" borderId="6" xfId="0" applyFill="1" applyBorder="1"/>
    <xf numFmtId="0" fontId="0" fillId="6" borderId="0" xfId="0" applyFill="1" applyBorder="1"/>
    <xf numFmtId="0" fontId="0" fillId="6" borderId="4" xfId="0" applyFill="1" applyBorder="1"/>
    <xf numFmtId="0" fontId="0" fillId="7" borderId="0" xfId="0" applyFill="1" applyBorder="1"/>
    <xf numFmtId="0" fontId="0" fillId="7" borderId="4" xfId="0" applyFill="1" applyBorder="1"/>
    <xf numFmtId="0" fontId="0" fillId="8" borderId="0" xfId="0" applyFill="1" applyBorder="1"/>
    <xf numFmtId="0" fontId="0" fillId="8" borderId="4" xfId="0" applyFill="1" applyBorder="1"/>
    <xf numFmtId="0" fontId="2" fillId="7" borderId="0" xfId="0" applyFon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sv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25401</xdr:rowOff>
    </xdr:from>
    <xdr:to>
      <xdr:col>6</xdr:col>
      <xdr:colOff>73037</xdr:colOff>
      <xdr:row>12</xdr:row>
      <xdr:rowOff>50801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9457662-675B-606A-284D-0F11FB905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25401"/>
          <a:ext cx="3730636" cy="22352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466725</xdr:colOff>
      <xdr:row>21</xdr:row>
      <xdr:rowOff>86783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C7D80CEC-B7AD-C000-EE31-2A4E9FC08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0" y="0"/>
          <a:ext cx="5953125" cy="3962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374043</xdr:colOff>
      <xdr:row>0</xdr:row>
      <xdr:rowOff>128132</xdr:rowOff>
    </xdr:from>
    <xdr:to>
      <xdr:col>3</xdr:col>
      <xdr:colOff>1007985</xdr:colOff>
      <xdr:row>8</xdr:row>
      <xdr:rowOff>116911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DBE20-2E12-1D17-04FD-05AA81511D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4043" y="128132"/>
          <a:ext cx="4844079" cy="145884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16"/>
  <sheetViews>
    <sheetView workbookViewId="0">
      <selection activeCell="C4" sqref="C4"/>
    </sheetView>
  </sheetViews>
  <sheetFormatPr defaultRowHeight="14.5" x14ac:dyDescent="0.35"/>
  <cols>
    <col min="4" max="4" width="11.36328125" bestFit="1" customWidth="1"/>
    <col min="8" max="8" width="10.7265625" bestFit="1" customWidth="1"/>
  </cols>
  <sheetData>
    <row r="1" spans="2:4" x14ac:dyDescent="0.35">
      <c r="B1" t="s">
        <v>4</v>
      </c>
    </row>
    <row r="2" spans="2:4" x14ac:dyDescent="0.35">
      <c r="B2" t="s">
        <v>0</v>
      </c>
      <c r="C2" t="s">
        <v>1</v>
      </c>
      <c r="D2" t="s">
        <v>2</v>
      </c>
    </row>
    <row r="3" spans="2:4" x14ac:dyDescent="0.35">
      <c r="B3">
        <v>1</v>
      </c>
      <c r="C3">
        <v>1</v>
      </c>
      <c r="D3" s="1">
        <f>C3/B3</f>
        <v>1</v>
      </c>
    </row>
    <row r="4" spans="2:4" x14ac:dyDescent="0.35">
      <c r="B4">
        <v>2</v>
      </c>
      <c r="C4">
        <v>5</v>
      </c>
      <c r="D4" s="1">
        <f t="shared" ref="D4:D12" si="0">C4/B4</f>
        <v>2.5</v>
      </c>
    </row>
    <row r="5" spans="2:4" x14ac:dyDescent="0.35">
      <c r="B5">
        <v>3</v>
      </c>
      <c r="C5">
        <v>8</v>
      </c>
      <c r="D5" s="1">
        <f t="shared" si="0"/>
        <v>2.6666666666666665</v>
      </c>
    </row>
    <row r="6" spans="2:4" x14ac:dyDescent="0.35">
      <c r="B6">
        <v>4</v>
      </c>
      <c r="C6">
        <v>9</v>
      </c>
      <c r="D6" s="1">
        <f t="shared" si="0"/>
        <v>2.25</v>
      </c>
    </row>
    <row r="7" spans="2:4" x14ac:dyDescent="0.35">
      <c r="B7">
        <v>5</v>
      </c>
      <c r="C7">
        <v>10</v>
      </c>
      <c r="D7" s="1">
        <f t="shared" si="0"/>
        <v>2</v>
      </c>
    </row>
    <row r="8" spans="2:4" x14ac:dyDescent="0.35">
      <c r="B8">
        <v>6</v>
      </c>
      <c r="C8">
        <v>17</v>
      </c>
      <c r="D8" s="1">
        <f t="shared" si="0"/>
        <v>2.8333333333333335</v>
      </c>
    </row>
    <row r="9" spans="2:4" x14ac:dyDescent="0.35">
      <c r="B9">
        <v>7</v>
      </c>
      <c r="C9">
        <v>17</v>
      </c>
      <c r="D9" s="1">
        <f t="shared" si="0"/>
        <v>2.4285714285714284</v>
      </c>
    </row>
    <row r="10" spans="2:4" x14ac:dyDescent="0.35">
      <c r="B10">
        <v>8</v>
      </c>
      <c r="C10">
        <v>20</v>
      </c>
      <c r="D10" s="1">
        <f t="shared" si="0"/>
        <v>2.5</v>
      </c>
    </row>
    <row r="11" spans="2:4" x14ac:dyDescent="0.35">
      <c r="B11">
        <v>9</v>
      </c>
      <c r="C11">
        <v>24</v>
      </c>
      <c r="D11" s="1">
        <f t="shared" si="0"/>
        <v>2.6666666666666665</v>
      </c>
    </row>
    <row r="12" spans="2:4" x14ac:dyDescent="0.35">
      <c r="B12">
        <v>10</v>
      </c>
      <c r="C12">
        <v>30</v>
      </c>
      <c r="D12" s="1">
        <f t="shared" si="0"/>
        <v>3</v>
      </c>
    </row>
    <row r="16" spans="2:4" x14ac:dyDescent="0.35">
      <c r="C16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59DD3-F71C-4000-B605-A7F8AA9644D9}">
  <dimension ref="H3:P28"/>
  <sheetViews>
    <sheetView topLeftCell="A2" zoomScale="86" workbookViewId="0">
      <selection activeCell="N11" sqref="N11"/>
    </sheetView>
  </sheetViews>
  <sheetFormatPr defaultRowHeight="14.5" x14ac:dyDescent="0.35"/>
  <cols>
    <col min="8" max="8" width="13.1796875" bestFit="1" customWidth="1"/>
    <col min="10" max="10" width="10.81640625" bestFit="1" customWidth="1"/>
  </cols>
  <sheetData>
    <row r="3" spans="8:16" x14ac:dyDescent="0.35">
      <c r="H3" t="s">
        <v>6</v>
      </c>
      <c r="I3" t="s">
        <v>15</v>
      </c>
    </row>
    <row r="4" spans="8:16" x14ac:dyDescent="0.35">
      <c r="H4" t="s">
        <v>14</v>
      </c>
      <c r="I4" t="s">
        <v>9</v>
      </c>
      <c r="P4" s="2"/>
    </row>
    <row r="5" spans="8:16" x14ac:dyDescent="0.35">
      <c r="H5" t="s">
        <v>7</v>
      </c>
      <c r="I5">
        <v>3</v>
      </c>
      <c r="P5" s="2"/>
    </row>
    <row r="6" spans="8:16" x14ac:dyDescent="0.35">
      <c r="H6" t="s">
        <v>8</v>
      </c>
      <c r="I6">
        <v>4</v>
      </c>
      <c r="P6" s="2"/>
    </row>
    <row r="7" spans="8:16" x14ac:dyDescent="0.35">
      <c r="P7" s="2"/>
    </row>
    <row r="8" spans="8:16" x14ac:dyDescent="0.35">
      <c r="P8" s="2"/>
    </row>
    <row r="9" spans="8:16" x14ac:dyDescent="0.35">
      <c r="H9" t="s">
        <v>10</v>
      </c>
      <c r="P9" s="2"/>
    </row>
    <row r="10" spans="8:16" x14ac:dyDescent="0.35">
      <c r="H10" t="s">
        <v>14</v>
      </c>
      <c r="I10" t="s">
        <v>7</v>
      </c>
      <c r="J10" t="s">
        <v>8</v>
      </c>
      <c r="L10" t="s">
        <v>20</v>
      </c>
      <c r="P10" s="2"/>
    </row>
    <row r="11" spans="8:16" x14ac:dyDescent="0.35">
      <c r="H11" t="s">
        <v>11</v>
      </c>
      <c r="I11">
        <f>1+I5</f>
        <v>4</v>
      </c>
      <c r="J11">
        <f>4+I6</f>
        <v>8</v>
      </c>
      <c r="L11">
        <f>MIN(I11:J11)</f>
        <v>4</v>
      </c>
      <c r="P11" s="2"/>
    </row>
    <row r="12" spans="8:16" x14ac:dyDescent="0.35">
      <c r="H12" t="s">
        <v>12</v>
      </c>
      <c r="I12">
        <f>6+I5</f>
        <v>9</v>
      </c>
      <c r="J12">
        <f>3+I6</f>
        <v>7</v>
      </c>
      <c r="L12">
        <f t="shared" ref="L12:L13" si="0">MIN(I12:J12)</f>
        <v>7</v>
      </c>
      <c r="P12" s="2"/>
    </row>
    <row r="13" spans="8:16" x14ac:dyDescent="0.35">
      <c r="H13" t="s">
        <v>13</v>
      </c>
      <c r="I13">
        <f>3+I5</f>
        <v>6</v>
      </c>
      <c r="J13">
        <f>3+I6</f>
        <v>7</v>
      </c>
      <c r="L13">
        <f t="shared" si="0"/>
        <v>6</v>
      </c>
      <c r="P13" s="2"/>
    </row>
    <row r="14" spans="8:16" x14ac:dyDescent="0.35">
      <c r="P14" s="2"/>
    </row>
    <row r="15" spans="8:16" x14ac:dyDescent="0.35">
      <c r="H15" t="s">
        <v>16</v>
      </c>
    </row>
    <row r="16" spans="8:16" x14ac:dyDescent="0.35">
      <c r="H16" t="s">
        <v>14</v>
      </c>
      <c r="I16" t="s">
        <v>11</v>
      </c>
      <c r="J16" t="s">
        <v>12</v>
      </c>
      <c r="K16" t="s">
        <v>13</v>
      </c>
      <c r="M16" t="s">
        <v>20</v>
      </c>
    </row>
    <row r="17" spans="8:13" x14ac:dyDescent="0.35">
      <c r="H17" t="s">
        <v>17</v>
      </c>
      <c r="I17">
        <f>7+MIN(I11:J11)</f>
        <v>11</v>
      </c>
      <c r="J17">
        <f>4+MIN(I12:J12)</f>
        <v>11</v>
      </c>
      <c r="K17">
        <f>6+L13</f>
        <v>12</v>
      </c>
      <c r="M17">
        <f>MIN(I17:K17)</f>
        <v>11</v>
      </c>
    </row>
    <row r="18" spans="8:13" x14ac:dyDescent="0.35">
      <c r="H18" t="s">
        <v>18</v>
      </c>
      <c r="I18">
        <f>3+MIN(I11:J11)</f>
        <v>7</v>
      </c>
      <c r="J18">
        <f>2+MIN(I12:J12)</f>
        <v>9</v>
      </c>
      <c r="K18">
        <f>4+L13</f>
        <v>10</v>
      </c>
      <c r="M18">
        <f t="shared" ref="M18:M19" si="1">MIN(I18:K18)</f>
        <v>7</v>
      </c>
    </row>
    <row r="19" spans="8:13" x14ac:dyDescent="0.35">
      <c r="H19" t="s">
        <v>19</v>
      </c>
      <c r="I19">
        <f>4+MIN(I11:J11)</f>
        <v>8</v>
      </c>
      <c r="J19">
        <f>1+MIN(I12:J12)</f>
        <v>8</v>
      </c>
      <c r="K19">
        <f>5+L13</f>
        <v>11</v>
      </c>
      <c r="M19">
        <f t="shared" si="1"/>
        <v>8</v>
      </c>
    </row>
    <row r="21" spans="8:13" x14ac:dyDescent="0.35">
      <c r="H21" t="s">
        <v>21</v>
      </c>
    </row>
    <row r="22" spans="8:13" x14ac:dyDescent="0.35">
      <c r="H22" t="s">
        <v>14</v>
      </c>
      <c r="I22" t="s">
        <v>17</v>
      </c>
      <c r="J22" t="s">
        <v>18</v>
      </c>
      <c r="K22" t="s">
        <v>19</v>
      </c>
      <c r="M22" t="s">
        <v>20</v>
      </c>
    </row>
    <row r="23" spans="8:13" x14ac:dyDescent="0.35">
      <c r="H23" t="s">
        <v>5</v>
      </c>
      <c r="I23">
        <f>2+M17</f>
        <v>13</v>
      </c>
      <c r="J23">
        <f>4+M18</f>
        <v>11</v>
      </c>
      <c r="K23">
        <f>3+M19</f>
        <v>11</v>
      </c>
      <c r="M23">
        <f>MIN(I23:K23)</f>
        <v>11</v>
      </c>
    </row>
    <row r="25" spans="8:13" x14ac:dyDescent="0.35">
      <c r="H25" t="s">
        <v>22</v>
      </c>
    </row>
    <row r="26" spans="8:13" x14ac:dyDescent="0.35">
      <c r="H26" t="s">
        <v>23</v>
      </c>
      <c r="I26" t="s">
        <v>25</v>
      </c>
    </row>
    <row r="27" spans="8:13" x14ac:dyDescent="0.35">
      <c r="H27" t="s">
        <v>24</v>
      </c>
      <c r="I27" t="s">
        <v>26</v>
      </c>
    </row>
    <row r="28" spans="8:13" x14ac:dyDescent="0.35">
      <c r="H28" t="s">
        <v>27</v>
      </c>
      <c r="I28" t="s">
        <v>28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27C96-1CE0-487F-BBED-2080DE9A9493}">
  <dimension ref="B3:M47"/>
  <sheetViews>
    <sheetView zoomScale="68" zoomScaleNormal="51" workbookViewId="0">
      <selection activeCell="I10" sqref="I10"/>
    </sheetView>
  </sheetViews>
  <sheetFormatPr defaultRowHeight="14.5" x14ac:dyDescent="0.35"/>
  <cols>
    <col min="2" max="2" width="41.1796875" bestFit="1" customWidth="1"/>
    <col min="3" max="3" width="20.36328125" bestFit="1" customWidth="1"/>
    <col min="5" max="5" width="21.26953125" customWidth="1"/>
    <col min="6" max="6" width="10" bestFit="1" customWidth="1"/>
    <col min="7" max="7" width="19.90625" bestFit="1" customWidth="1"/>
    <col min="8" max="8" width="13.81640625" bestFit="1" customWidth="1"/>
    <col min="9" max="9" width="19.7265625" bestFit="1" customWidth="1"/>
    <col min="10" max="10" width="20" bestFit="1" customWidth="1"/>
    <col min="11" max="11" width="17.54296875" bestFit="1" customWidth="1"/>
    <col min="12" max="12" width="17.08984375" bestFit="1" customWidth="1"/>
    <col min="13" max="13" width="13.81640625" bestFit="1" customWidth="1"/>
  </cols>
  <sheetData>
    <row r="3" spans="2:13" ht="15" thickBot="1" x14ac:dyDescent="0.4">
      <c r="B3" t="s">
        <v>33</v>
      </c>
      <c r="E3" t="s">
        <v>40</v>
      </c>
    </row>
    <row r="4" spans="2:13" ht="15" thickBot="1" x14ac:dyDescent="0.4">
      <c r="B4" t="s">
        <v>30</v>
      </c>
      <c r="C4" s="3">
        <v>350</v>
      </c>
      <c r="E4" s="5" t="s">
        <v>49</v>
      </c>
      <c r="F4" s="11" t="s">
        <v>41</v>
      </c>
      <c r="G4" s="6" t="s">
        <v>50</v>
      </c>
      <c r="H4" s="11" t="s">
        <v>43</v>
      </c>
      <c r="I4" s="11" t="s">
        <v>46</v>
      </c>
      <c r="J4" s="11" t="s">
        <v>44</v>
      </c>
      <c r="K4" s="11" t="s">
        <v>45</v>
      </c>
      <c r="L4" s="6" t="s">
        <v>47</v>
      </c>
      <c r="M4" s="18" t="s">
        <v>42</v>
      </c>
    </row>
    <row r="5" spans="2:13" ht="15" thickTop="1" x14ac:dyDescent="0.35">
      <c r="B5" t="s">
        <v>31</v>
      </c>
      <c r="C5" s="3">
        <v>750</v>
      </c>
      <c r="E5" s="7">
        <v>0</v>
      </c>
      <c r="F5">
        <v>400</v>
      </c>
      <c r="G5" s="8">
        <f>E5+F5-H5</f>
        <v>0</v>
      </c>
      <c r="H5">
        <f>$C$16</f>
        <v>400</v>
      </c>
      <c r="I5" s="12">
        <f>H5*$C$5</f>
        <v>300000</v>
      </c>
      <c r="J5" s="13">
        <f>F5*350</f>
        <v>140000</v>
      </c>
      <c r="K5" s="13">
        <f>E5*200</f>
        <v>0</v>
      </c>
      <c r="L5" s="14">
        <f>IF(F5&gt;0,150000,0)</f>
        <v>150000</v>
      </c>
      <c r="M5" s="19">
        <f>I5-J5-K5-L5</f>
        <v>10000</v>
      </c>
    </row>
    <row r="6" spans="2:13" x14ac:dyDescent="0.35">
      <c r="B6" t="s">
        <v>32</v>
      </c>
      <c r="C6" s="3">
        <v>150000</v>
      </c>
      <c r="E6" s="7">
        <v>100</v>
      </c>
      <c r="F6">
        <v>300</v>
      </c>
      <c r="G6" s="8">
        <f t="shared" ref="G6:G9" si="0">E6+F6-H6</f>
        <v>0</v>
      </c>
      <c r="H6">
        <f t="shared" ref="H6:H8" si="1">$C$16</f>
        <v>400</v>
      </c>
      <c r="I6" s="12">
        <f t="shared" ref="I6:I8" si="2">H6*$C$5</f>
        <v>300000</v>
      </c>
      <c r="J6" s="13">
        <f>F6*350</f>
        <v>105000</v>
      </c>
      <c r="K6" s="13">
        <f>E6*200</f>
        <v>20000</v>
      </c>
      <c r="L6" s="14">
        <f>IF(F6&gt;0,150000,0)</f>
        <v>150000</v>
      </c>
      <c r="M6" s="19">
        <f t="shared" ref="M6:M8" si="3">I6-J6-K6-L6</f>
        <v>25000</v>
      </c>
    </row>
    <row r="7" spans="2:13" x14ac:dyDescent="0.35">
      <c r="B7" t="s">
        <v>34</v>
      </c>
      <c r="C7">
        <v>100</v>
      </c>
      <c r="E7" s="7">
        <v>200</v>
      </c>
      <c r="F7">
        <v>200</v>
      </c>
      <c r="G7" s="8">
        <f t="shared" si="0"/>
        <v>0</v>
      </c>
      <c r="H7">
        <f t="shared" si="1"/>
        <v>400</v>
      </c>
      <c r="I7" s="12">
        <f t="shared" si="2"/>
        <v>300000</v>
      </c>
      <c r="J7" s="13">
        <f>F7*350</f>
        <v>70000</v>
      </c>
      <c r="K7" s="13">
        <f>E7*200</f>
        <v>40000</v>
      </c>
      <c r="L7" s="14">
        <f>IF(F7&gt;0,150000,0)</f>
        <v>150000</v>
      </c>
      <c r="M7" s="19">
        <f t="shared" si="3"/>
        <v>40000</v>
      </c>
    </row>
    <row r="8" spans="2:13" x14ac:dyDescent="0.35">
      <c r="B8" t="s">
        <v>35</v>
      </c>
      <c r="C8" s="3">
        <v>200</v>
      </c>
      <c r="E8" s="7">
        <v>300</v>
      </c>
      <c r="F8">
        <v>100</v>
      </c>
      <c r="G8" s="8">
        <f t="shared" si="0"/>
        <v>0</v>
      </c>
      <c r="H8">
        <f t="shared" si="1"/>
        <v>400</v>
      </c>
      <c r="I8" s="12">
        <f t="shared" si="2"/>
        <v>300000</v>
      </c>
      <c r="J8" s="13">
        <f>F8*350</f>
        <v>35000</v>
      </c>
      <c r="K8" s="13">
        <f>E8*200</f>
        <v>60000</v>
      </c>
      <c r="L8" s="14">
        <f>IF(F8&gt;0,150000,0)</f>
        <v>150000</v>
      </c>
      <c r="M8" s="19">
        <f t="shared" si="3"/>
        <v>55000</v>
      </c>
    </row>
    <row r="9" spans="2:13" ht="15" thickBot="1" x14ac:dyDescent="0.4">
      <c r="B9" t="s">
        <v>36</v>
      </c>
      <c r="C9">
        <v>800</v>
      </c>
      <c r="E9" s="9">
        <v>400</v>
      </c>
      <c r="F9" s="21">
        <v>0</v>
      </c>
      <c r="G9" s="10">
        <f t="shared" si="0"/>
        <v>0</v>
      </c>
      <c r="H9" s="21">
        <f>$C$16</f>
        <v>400</v>
      </c>
      <c r="I9" s="15">
        <f>H9*$C$5</f>
        <v>300000</v>
      </c>
      <c r="J9" s="16">
        <f>F9*350</f>
        <v>0</v>
      </c>
      <c r="K9" s="16">
        <f>E9*200</f>
        <v>80000</v>
      </c>
      <c r="L9" s="17">
        <f>IF(F9&gt;0,150000,0)</f>
        <v>0</v>
      </c>
      <c r="M9" s="33">
        <f>I9-J9-K9-L9</f>
        <v>220000</v>
      </c>
    </row>
    <row r="10" spans="2:13" x14ac:dyDescent="0.35">
      <c r="B10" t="s">
        <v>39</v>
      </c>
      <c r="E10" t="s">
        <v>48</v>
      </c>
    </row>
    <row r="11" spans="2:13" x14ac:dyDescent="0.35">
      <c r="E11" t="s">
        <v>52</v>
      </c>
    </row>
    <row r="12" spans="2:13" ht="15" thickBot="1" x14ac:dyDescent="0.4">
      <c r="B12" t="s">
        <v>38</v>
      </c>
      <c r="C12" t="s">
        <v>37</v>
      </c>
      <c r="E12" t="s">
        <v>55</v>
      </c>
    </row>
    <row r="13" spans="2:13" ht="15" thickBot="1" x14ac:dyDescent="0.4">
      <c r="B13">
        <v>1</v>
      </c>
      <c r="C13">
        <v>500</v>
      </c>
      <c r="E13" s="22" t="s">
        <v>51</v>
      </c>
      <c r="F13" s="23" t="s">
        <v>41</v>
      </c>
      <c r="G13" s="25" t="s">
        <v>50</v>
      </c>
      <c r="H13" s="23" t="s">
        <v>43</v>
      </c>
      <c r="I13" s="23" t="s">
        <v>46</v>
      </c>
      <c r="J13" s="23" t="s">
        <v>44</v>
      </c>
      <c r="K13" s="23" t="s">
        <v>45</v>
      </c>
      <c r="L13" s="25" t="s">
        <v>47</v>
      </c>
      <c r="M13" s="30" t="s">
        <v>42</v>
      </c>
    </row>
    <row r="14" spans="2:13" x14ac:dyDescent="0.35">
      <c r="B14">
        <v>2</v>
      </c>
      <c r="C14">
        <v>600</v>
      </c>
      <c r="E14" s="26">
        <v>0</v>
      </c>
      <c r="F14" s="32">
        <v>700</v>
      </c>
      <c r="G14" s="24">
        <f>E14+F14-H14</f>
        <v>400</v>
      </c>
      <c r="H14" s="26">
        <f>$C$15</f>
        <v>300</v>
      </c>
      <c r="I14" s="27">
        <f>H14*$C$5</f>
        <v>225000</v>
      </c>
      <c r="J14" s="28">
        <f>F14*350</f>
        <v>245000</v>
      </c>
      <c r="K14" s="28">
        <f>E14*200</f>
        <v>0</v>
      </c>
      <c r="L14" s="29">
        <f>IF(F14&gt;0,150000,0)</f>
        <v>150000</v>
      </c>
      <c r="M14" s="31">
        <f>I14-J14-K14-L14+MAX($M$5:$M$9)</f>
        <v>50000</v>
      </c>
    </row>
    <row r="15" spans="2:13" x14ac:dyDescent="0.35">
      <c r="B15">
        <v>3</v>
      </c>
      <c r="C15">
        <v>300</v>
      </c>
      <c r="E15" s="7">
        <v>100</v>
      </c>
      <c r="F15">
        <v>600</v>
      </c>
      <c r="G15" s="8">
        <f t="shared" ref="G15:G18" si="4">E15+F15-H15</f>
        <v>400</v>
      </c>
      <c r="H15" s="7">
        <f t="shared" ref="H15:H21" si="5">$C$15</f>
        <v>300</v>
      </c>
      <c r="I15" s="12">
        <f t="shared" ref="I15:I21" si="6">H15*$C$5</f>
        <v>225000</v>
      </c>
      <c r="J15" s="13">
        <f>F15*350</f>
        <v>210000</v>
      </c>
      <c r="K15" s="13">
        <f>E15*200</f>
        <v>20000</v>
      </c>
      <c r="L15" s="14">
        <f>IF(F15&gt;0,150000,0)</f>
        <v>150000</v>
      </c>
      <c r="M15" s="19">
        <f t="shared" ref="M15:M21" si="7">I15-J15-K15-L15+MAX($M$5:$M$9)</f>
        <v>65000</v>
      </c>
    </row>
    <row r="16" spans="2:13" x14ac:dyDescent="0.35">
      <c r="B16">
        <v>4</v>
      </c>
      <c r="C16">
        <v>400</v>
      </c>
      <c r="E16" s="7">
        <v>200</v>
      </c>
      <c r="F16">
        <v>500</v>
      </c>
      <c r="G16" s="8">
        <f t="shared" si="4"/>
        <v>400</v>
      </c>
      <c r="H16" s="7">
        <f t="shared" si="5"/>
        <v>300</v>
      </c>
      <c r="I16" s="12">
        <f t="shared" si="6"/>
        <v>225000</v>
      </c>
      <c r="J16" s="13">
        <f>F16*350</f>
        <v>175000</v>
      </c>
      <c r="K16" s="13">
        <f>E16*200</f>
        <v>40000</v>
      </c>
      <c r="L16" s="14">
        <f>IF(F16&gt;0,150000,0)</f>
        <v>150000</v>
      </c>
      <c r="M16" s="19">
        <f t="shared" si="7"/>
        <v>80000</v>
      </c>
    </row>
    <row r="17" spans="5:13" x14ac:dyDescent="0.35">
      <c r="E17" s="7">
        <v>300</v>
      </c>
      <c r="F17">
        <v>400</v>
      </c>
      <c r="G17" s="8">
        <f t="shared" si="4"/>
        <v>400</v>
      </c>
      <c r="H17" s="7">
        <f t="shared" si="5"/>
        <v>300</v>
      </c>
      <c r="I17" s="12">
        <f t="shared" si="6"/>
        <v>225000</v>
      </c>
      <c r="J17" s="13">
        <f>F17*350</f>
        <v>140000</v>
      </c>
      <c r="K17" s="13">
        <f>E17*200</f>
        <v>60000</v>
      </c>
      <c r="L17" s="14">
        <f>IF(F17&gt;0,150000,0)</f>
        <v>150000</v>
      </c>
      <c r="M17" s="19">
        <f t="shared" si="7"/>
        <v>95000</v>
      </c>
    </row>
    <row r="18" spans="5:13" x14ac:dyDescent="0.35">
      <c r="E18" s="7">
        <v>400</v>
      </c>
      <c r="F18">
        <v>300</v>
      </c>
      <c r="G18" s="8">
        <f t="shared" si="4"/>
        <v>400</v>
      </c>
      <c r="H18" s="7">
        <f t="shared" si="5"/>
        <v>300</v>
      </c>
      <c r="I18" s="12">
        <f t="shared" si="6"/>
        <v>225000</v>
      </c>
      <c r="J18" s="13">
        <f>F18*350</f>
        <v>105000</v>
      </c>
      <c r="K18" s="13">
        <f>E18*200</f>
        <v>80000</v>
      </c>
      <c r="L18" s="14">
        <f>IF(F18&gt;0,150000,0)</f>
        <v>150000</v>
      </c>
      <c r="M18" s="19">
        <f t="shared" si="7"/>
        <v>110000</v>
      </c>
    </row>
    <row r="19" spans="5:13" x14ac:dyDescent="0.35">
      <c r="E19" s="7">
        <v>500</v>
      </c>
      <c r="F19">
        <v>200</v>
      </c>
      <c r="G19" s="8">
        <f t="shared" ref="G19:G21" si="8">E19+F19-H19</f>
        <v>400</v>
      </c>
      <c r="H19" s="7">
        <f t="shared" si="5"/>
        <v>300</v>
      </c>
      <c r="I19" s="12">
        <f t="shared" si="6"/>
        <v>225000</v>
      </c>
      <c r="J19" s="13">
        <f t="shared" ref="J19:J21" si="9">F19*350</f>
        <v>70000</v>
      </c>
      <c r="K19" s="13">
        <f t="shared" ref="K19:K21" si="10">E19*200</f>
        <v>100000</v>
      </c>
      <c r="L19" s="14">
        <f t="shared" ref="L19:L21" si="11">IF(F19&gt;0,150000,0)</f>
        <v>150000</v>
      </c>
      <c r="M19" s="19">
        <f t="shared" si="7"/>
        <v>125000</v>
      </c>
    </row>
    <row r="20" spans="5:13" x14ac:dyDescent="0.35">
      <c r="E20" s="7">
        <v>600</v>
      </c>
      <c r="F20">
        <v>100</v>
      </c>
      <c r="G20" s="8">
        <f t="shared" si="8"/>
        <v>400</v>
      </c>
      <c r="H20" s="7">
        <f t="shared" si="5"/>
        <v>300</v>
      </c>
      <c r="I20" s="12">
        <f t="shared" si="6"/>
        <v>225000</v>
      </c>
      <c r="J20" s="13">
        <f t="shared" si="9"/>
        <v>35000</v>
      </c>
      <c r="K20" s="13">
        <f t="shared" si="10"/>
        <v>120000</v>
      </c>
      <c r="L20" s="14">
        <f t="shared" si="11"/>
        <v>150000</v>
      </c>
      <c r="M20" s="19">
        <f t="shared" si="7"/>
        <v>140000</v>
      </c>
    </row>
    <row r="21" spans="5:13" ht="15" thickBot="1" x14ac:dyDescent="0.4">
      <c r="E21" s="9">
        <v>700</v>
      </c>
      <c r="F21" s="21">
        <v>0</v>
      </c>
      <c r="G21" s="10">
        <f t="shared" si="8"/>
        <v>400</v>
      </c>
      <c r="H21" s="9">
        <f t="shared" si="5"/>
        <v>300</v>
      </c>
      <c r="I21" s="15">
        <f t="shared" si="6"/>
        <v>225000</v>
      </c>
      <c r="J21" s="16">
        <f t="shared" si="9"/>
        <v>0</v>
      </c>
      <c r="K21" s="16">
        <f t="shared" si="10"/>
        <v>140000</v>
      </c>
      <c r="L21" s="17">
        <f t="shared" si="11"/>
        <v>0</v>
      </c>
      <c r="M21" s="33">
        <f t="shared" si="7"/>
        <v>305000</v>
      </c>
    </row>
    <row r="22" spans="5:13" x14ac:dyDescent="0.35">
      <c r="E22" t="s">
        <v>53</v>
      </c>
    </row>
    <row r="23" spans="5:13" x14ac:dyDescent="0.35">
      <c r="E23" t="s">
        <v>54</v>
      </c>
    </row>
    <row r="24" spans="5:13" ht="15" thickBot="1" x14ac:dyDescent="0.4">
      <c r="E24" t="s">
        <v>56</v>
      </c>
    </row>
    <row r="25" spans="5:13" ht="15" thickBot="1" x14ac:dyDescent="0.4">
      <c r="E25" s="22" t="s">
        <v>51</v>
      </c>
      <c r="F25" s="23" t="s">
        <v>41</v>
      </c>
      <c r="G25" s="25" t="s">
        <v>50</v>
      </c>
      <c r="H25" s="23" t="s">
        <v>43</v>
      </c>
      <c r="I25" s="23" t="s">
        <v>46</v>
      </c>
      <c r="J25" s="23" t="s">
        <v>44</v>
      </c>
      <c r="K25" s="23" t="s">
        <v>45</v>
      </c>
      <c r="L25" s="25" t="s">
        <v>47</v>
      </c>
      <c r="M25" s="30" t="s">
        <v>42</v>
      </c>
    </row>
    <row r="26" spans="5:13" x14ac:dyDescent="0.35">
      <c r="E26" s="26">
        <v>0</v>
      </c>
      <c r="F26" s="32">
        <v>900</v>
      </c>
      <c r="G26" s="24">
        <f>E26+F26-H26</f>
        <v>300</v>
      </c>
      <c r="H26" s="26">
        <f>$C$14</f>
        <v>600</v>
      </c>
      <c r="I26" s="27">
        <f>H26*$C$5</f>
        <v>450000</v>
      </c>
      <c r="J26" s="28">
        <f>F26*350</f>
        <v>315000</v>
      </c>
      <c r="K26" s="28">
        <f>E26*200</f>
        <v>0</v>
      </c>
      <c r="L26" s="28">
        <f>IF(F26&gt;0,150000,0)</f>
        <v>150000</v>
      </c>
      <c r="M26" s="31">
        <f>I26-J26-K26-L26+MAX($M$14:$M$21)</f>
        <v>290000</v>
      </c>
    </row>
    <row r="27" spans="5:13" x14ac:dyDescent="0.35">
      <c r="E27" s="7">
        <v>100</v>
      </c>
      <c r="F27">
        <v>800</v>
      </c>
      <c r="G27" s="8">
        <f t="shared" ref="G27:G32" si="12">G15</f>
        <v>400</v>
      </c>
      <c r="H27" s="7">
        <f t="shared" ref="H27:H34" si="13">$C$14</f>
        <v>600</v>
      </c>
      <c r="I27" s="12">
        <f t="shared" ref="I27:I32" si="14">H27*$C$5</f>
        <v>450000</v>
      </c>
      <c r="J27" s="13">
        <f>F27*350</f>
        <v>280000</v>
      </c>
      <c r="K27" s="13">
        <f>E27*200</f>
        <v>20000</v>
      </c>
      <c r="L27" s="13">
        <f>IF(F27&gt;0,150000,0)</f>
        <v>150000</v>
      </c>
      <c r="M27" s="19">
        <f t="shared" ref="M27:M34" si="15">I27-J27-K27-L27+MAX($M$14:$M$21)</f>
        <v>305000</v>
      </c>
    </row>
    <row r="28" spans="5:13" x14ac:dyDescent="0.35">
      <c r="E28" s="7">
        <v>200</v>
      </c>
      <c r="F28">
        <v>700</v>
      </c>
      <c r="G28" s="8">
        <f t="shared" si="12"/>
        <v>400</v>
      </c>
      <c r="H28" s="7">
        <f t="shared" si="13"/>
        <v>600</v>
      </c>
      <c r="I28" s="12">
        <f t="shared" si="14"/>
        <v>450000</v>
      </c>
      <c r="J28" s="13">
        <f>F28*350</f>
        <v>245000</v>
      </c>
      <c r="K28" s="13">
        <f>E28*200</f>
        <v>40000</v>
      </c>
      <c r="L28" s="13">
        <f>IF(F28&gt;0,150000,0)</f>
        <v>150000</v>
      </c>
      <c r="M28" s="19">
        <f t="shared" si="15"/>
        <v>320000</v>
      </c>
    </row>
    <row r="29" spans="5:13" x14ac:dyDescent="0.35">
      <c r="E29" s="7">
        <v>300</v>
      </c>
      <c r="F29">
        <v>600</v>
      </c>
      <c r="G29" s="8">
        <f t="shared" si="12"/>
        <v>400</v>
      </c>
      <c r="H29" s="7">
        <f t="shared" si="13"/>
        <v>600</v>
      </c>
      <c r="I29" s="12">
        <f t="shared" si="14"/>
        <v>450000</v>
      </c>
      <c r="J29" s="13">
        <f>F29*350</f>
        <v>210000</v>
      </c>
      <c r="K29" s="13">
        <f>E29*200</f>
        <v>60000</v>
      </c>
      <c r="L29" s="13">
        <f>IF(F29&gt;0,150000,0)</f>
        <v>150000</v>
      </c>
      <c r="M29" s="19">
        <f t="shared" si="15"/>
        <v>335000</v>
      </c>
    </row>
    <row r="30" spans="5:13" x14ac:dyDescent="0.35">
      <c r="E30" s="7">
        <v>400</v>
      </c>
      <c r="F30">
        <v>500</v>
      </c>
      <c r="G30" s="8">
        <f t="shared" si="12"/>
        <v>400</v>
      </c>
      <c r="H30" s="7">
        <f t="shared" si="13"/>
        <v>600</v>
      </c>
      <c r="I30" s="12">
        <f t="shared" si="14"/>
        <v>450000</v>
      </c>
      <c r="J30" s="13">
        <f>F30*350</f>
        <v>175000</v>
      </c>
      <c r="K30" s="13">
        <f>E30*200</f>
        <v>80000</v>
      </c>
      <c r="L30" s="13">
        <f>IF(F30&gt;0,150000,0)</f>
        <v>150000</v>
      </c>
      <c r="M30" s="19">
        <f t="shared" si="15"/>
        <v>350000</v>
      </c>
    </row>
    <row r="31" spans="5:13" x14ac:dyDescent="0.35">
      <c r="E31" s="7">
        <v>500</v>
      </c>
      <c r="F31">
        <v>400</v>
      </c>
      <c r="G31" s="8">
        <f t="shared" si="12"/>
        <v>400</v>
      </c>
      <c r="H31" s="7">
        <f t="shared" si="13"/>
        <v>600</v>
      </c>
      <c r="I31" s="12">
        <f t="shared" si="14"/>
        <v>450000</v>
      </c>
      <c r="J31" s="13">
        <f t="shared" ref="J31:J32" si="16">F31*350</f>
        <v>140000</v>
      </c>
      <c r="K31" s="13">
        <f t="shared" ref="K31:K32" si="17">E31*200</f>
        <v>100000</v>
      </c>
      <c r="L31" s="13">
        <f t="shared" ref="L31:L32" si="18">IF(F31&gt;0,150000,0)</f>
        <v>150000</v>
      </c>
      <c r="M31" s="19">
        <f t="shared" si="15"/>
        <v>365000</v>
      </c>
    </row>
    <row r="32" spans="5:13" x14ac:dyDescent="0.35">
      <c r="E32" s="7">
        <v>600</v>
      </c>
      <c r="F32">
        <v>300</v>
      </c>
      <c r="G32" s="8">
        <f t="shared" si="12"/>
        <v>400</v>
      </c>
      <c r="H32" s="7">
        <f t="shared" si="13"/>
        <v>600</v>
      </c>
      <c r="I32" s="12">
        <f t="shared" si="14"/>
        <v>450000</v>
      </c>
      <c r="J32" s="13">
        <f t="shared" si="16"/>
        <v>105000</v>
      </c>
      <c r="K32" s="13">
        <f t="shared" si="17"/>
        <v>120000</v>
      </c>
      <c r="L32" s="13">
        <f t="shared" si="18"/>
        <v>150000</v>
      </c>
      <c r="M32" s="19">
        <f t="shared" si="15"/>
        <v>380000</v>
      </c>
    </row>
    <row r="33" spans="5:13" x14ac:dyDescent="0.35">
      <c r="E33" s="7">
        <v>700</v>
      </c>
      <c r="F33">
        <v>200</v>
      </c>
      <c r="G33" s="8">
        <f>G21</f>
        <v>400</v>
      </c>
      <c r="H33" s="7">
        <f t="shared" si="13"/>
        <v>600</v>
      </c>
      <c r="I33" s="12">
        <f>H33*$C$5</f>
        <v>450000</v>
      </c>
      <c r="J33" s="13">
        <f>F33*350</f>
        <v>70000</v>
      </c>
      <c r="K33" s="13">
        <f>E33*200</f>
        <v>140000</v>
      </c>
      <c r="L33" s="13">
        <f>IF(F33&gt;0,150000,0)</f>
        <v>150000</v>
      </c>
      <c r="M33" s="19">
        <f t="shared" si="15"/>
        <v>395000</v>
      </c>
    </row>
    <row r="34" spans="5:13" ht="15" thickBot="1" x14ac:dyDescent="0.4">
      <c r="E34" s="9">
        <v>800</v>
      </c>
      <c r="F34" s="21">
        <v>100</v>
      </c>
      <c r="G34" s="10">
        <f>G22</f>
        <v>0</v>
      </c>
      <c r="H34" s="9">
        <f t="shared" si="13"/>
        <v>600</v>
      </c>
      <c r="I34" s="15">
        <f>H34*$C$5</f>
        <v>450000</v>
      </c>
      <c r="J34" s="16">
        <f>F34*350</f>
        <v>35000</v>
      </c>
      <c r="K34" s="16">
        <f>E34*200</f>
        <v>160000</v>
      </c>
      <c r="L34" s="16">
        <f>IF(F34&gt;0,150000,0)</f>
        <v>150000</v>
      </c>
      <c r="M34" s="20">
        <f t="shared" si="15"/>
        <v>410000</v>
      </c>
    </row>
    <row r="37" spans="5:13" ht="15" thickBot="1" x14ac:dyDescent="0.4">
      <c r="E37" t="s">
        <v>57</v>
      </c>
    </row>
    <row r="38" spans="5:13" ht="15" thickBot="1" x14ac:dyDescent="0.4">
      <c r="E38" s="22" t="s">
        <v>51</v>
      </c>
      <c r="F38" s="23" t="s">
        <v>41</v>
      </c>
      <c r="G38" s="25" t="s">
        <v>50</v>
      </c>
      <c r="H38" s="23" t="s">
        <v>43</v>
      </c>
      <c r="I38" s="23" t="s">
        <v>46</v>
      </c>
      <c r="J38" s="23" t="s">
        <v>44</v>
      </c>
      <c r="K38" s="23" t="s">
        <v>45</v>
      </c>
      <c r="L38" s="25" t="s">
        <v>47</v>
      </c>
      <c r="M38" s="30" t="s">
        <v>42</v>
      </c>
    </row>
    <row r="39" spans="5:13" x14ac:dyDescent="0.35">
      <c r="E39" s="26">
        <v>0</v>
      </c>
      <c r="F39" s="32">
        <v>900</v>
      </c>
      <c r="G39" s="24">
        <f>E39+F39-H39</f>
        <v>400</v>
      </c>
      <c r="H39" s="26">
        <f>$C$13</f>
        <v>500</v>
      </c>
      <c r="I39" s="27">
        <f>H39*$C$5</f>
        <v>375000</v>
      </c>
      <c r="J39" s="28">
        <f>F39*350</f>
        <v>315000</v>
      </c>
      <c r="K39" s="28">
        <f>E39*200</f>
        <v>0</v>
      </c>
      <c r="L39" s="28">
        <f>IF(F39&gt;0,150000,0)</f>
        <v>150000</v>
      </c>
      <c r="M39" s="31">
        <f>I39-J39-K39-L39+MAX($M$14:$M$21)</f>
        <v>215000</v>
      </c>
    </row>
    <row r="40" spans="5:13" x14ac:dyDescent="0.35">
      <c r="E40" s="7">
        <v>0</v>
      </c>
      <c r="F40">
        <v>800</v>
      </c>
      <c r="G40" s="8">
        <f t="shared" ref="G40:G46" si="19">E40+F40-H40</f>
        <v>300</v>
      </c>
      <c r="H40" s="7">
        <f t="shared" ref="H40:H47" si="20">$C$13</f>
        <v>500</v>
      </c>
      <c r="I40" s="12">
        <f t="shared" ref="I40:I45" si="21">H40*$C$5</f>
        <v>375000</v>
      </c>
      <c r="J40" s="13">
        <f>F40*350</f>
        <v>280000</v>
      </c>
      <c r="K40" s="13">
        <f>E40*200</f>
        <v>0</v>
      </c>
      <c r="L40" s="13">
        <f>IF(F40&gt;0,150000,0)</f>
        <v>150000</v>
      </c>
      <c r="M40" s="19">
        <f t="shared" ref="M40:M46" si="22">I40-J40-K40-L40+MAX($M$14:$M$21)</f>
        <v>250000</v>
      </c>
    </row>
    <row r="41" spans="5:13" x14ac:dyDescent="0.35">
      <c r="E41" s="7">
        <v>0</v>
      </c>
      <c r="F41">
        <v>700</v>
      </c>
      <c r="G41" s="8">
        <f t="shared" si="19"/>
        <v>200</v>
      </c>
      <c r="H41" s="7">
        <f t="shared" si="20"/>
        <v>500</v>
      </c>
      <c r="I41" s="12">
        <f t="shared" si="21"/>
        <v>375000</v>
      </c>
      <c r="J41" s="13">
        <f>F41*350</f>
        <v>245000</v>
      </c>
      <c r="K41" s="13">
        <f>E41*200</f>
        <v>0</v>
      </c>
      <c r="L41" s="13">
        <f>IF(F41&gt;0,150000,0)</f>
        <v>150000</v>
      </c>
      <c r="M41" s="19">
        <f t="shared" si="22"/>
        <v>285000</v>
      </c>
    </row>
    <row r="42" spans="5:13" x14ac:dyDescent="0.35">
      <c r="E42" s="7">
        <v>0</v>
      </c>
      <c r="F42">
        <v>600</v>
      </c>
      <c r="G42" s="8">
        <f t="shared" si="19"/>
        <v>100</v>
      </c>
      <c r="H42" s="7">
        <f t="shared" si="20"/>
        <v>500</v>
      </c>
      <c r="I42" s="12">
        <f t="shared" si="21"/>
        <v>375000</v>
      </c>
      <c r="J42" s="13">
        <f>F42*350</f>
        <v>210000</v>
      </c>
      <c r="K42" s="13">
        <f>E42*200</f>
        <v>0</v>
      </c>
      <c r="L42" s="13">
        <f>IF(F42&gt;0,150000,0)</f>
        <v>150000</v>
      </c>
      <c r="M42" s="19">
        <f t="shared" si="22"/>
        <v>320000</v>
      </c>
    </row>
    <row r="43" spans="5:13" x14ac:dyDescent="0.35">
      <c r="E43" s="7">
        <v>0</v>
      </c>
      <c r="F43">
        <v>500</v>
      </c>
      <c r="G43" s="8">
        <f t="shared" si="19"/>
        <v>0</v>
      </c>
      <c r="H43" s="7">
        <f t="shared" si="20"/>
        <v>500</v>
      </c>
      <c r="I43" s="12">
        <f t="shared" si="21"/>
        <v>375000</v>
      </c>
      <c r="J43" s="13">
        <f>F43*350</f>
        <v>175000</v>
      </c>
      <c r="K43" s="13">
        <f>E43*200</f>
        <v>0</v>
      </c>
      <c r="L43" s="13">
        <f>IF(F43&gt;0,150000,0)</f>
        <v>150000</v>
      </c>
      <c r="M43" s="19">
        <f t="shared" si="22"/>
        <v>355000</v>
      </c>
    </row>
    <row r="44" spans="5:13" x14ac:dyDescent="0.35">
      <c r="E44" s="7">
        <v>0</v>
      </c>
      <c r="F44">
        <v>400</v>
      </c>
      <c r="G44" s="8">
        <f t="shared" si="19"/>
        <v>-100</v>
      </c>
      <c r="H44" s="7">
        <f t="shared" si="20"/>
        <v>500</v>
      </c>
      <c r="I44" s="12">
        <f t="shared" si="21"/>
        <v>375000</v>
      </c>
      <c r="J44" s="13">
        <f t="shared" ref="J44:J45" si="23">F44*350</f>
        <v>140000</v>
      </c>
      <c r="K44" s="13">
        <f t="shared" ref="K44:K45" si="24">E44*200</f>
        <v>0</v>
      </c>
      <c r="L44" s="13">
        <f t="shared" ref="L44:L45" si="25">IF(F44&gt;0,150000,0)</f>
        <v>150000</v>
      </c>
      <c r="M44" s="19">
        <f t="shared" si="22"/>
        <v>390000</v>
      </c>
    </row>
    <row r="45" spans="5:13" x14ac:dyDescent="0.35">
      <c r="E45" s="7">
        <v>0</v>
      </c>
      <c r="F45">
        <v>300</v>
      </c>
      <c r="G45" s="8">
        <f t="shared" si="19"/>
        <v>-200</v>
      </c>
      <c r="H45" s="7">
        <f t="shared" si="20"/>
        <v>500</v>
      </c>
      <c r="I45" s="12">
        <f t="shared" si="21"/>
        <v>375000</v>
      </c>
      <c r="J45" s="13">
        <f t="shared" si="23"/>
        <v>105000</v>
      </c>
      <c r="K45" s="13">
        <f t="shared" si="24"/>
        <v>0</v>
      </c>
      <c r="L45" s="13">
        <f t="shared" si="25"/>
        <v>150000</v>
      </c>
      <c r="M45" s="19">
        <f t="shared" si="22"/>
        <v>425000</v>
      </c>
    </row>
    <row r="46" spans="5:13" x14ac:dyDescent="0.35">
      <c r="E46" s="7">
        <v>0</v>
      </c>
      <c r="F46">
        <v>200</v>
      </c>
      <c r="G46" s="8">
        <f t="shared" si="19"/>
        <v>-300</v>
      </c>
      <c r="H46" s="7">
        <f t="shared" si="20"/>
        <v>500</v>
      </c>
      <c r="I46" s="12">
        <f>H46*$C$5</f>
        <v>375000</v>
      </c>
      <c r="J46" s="13">
        <f>F46*350</f>
        <v>70000</v>
      </c>
      <c r="K46" s="13">
        <f>E46*200</f>
        <v>0</v>
      </c>
      <c r="L46" s="13">
        <f>IF(F46&gt;0,150000,0)</f>
        <v>150000</v>
      </c>
      <c r="M46" s="19">
        <f t="shared" si="22"/>
        <v>460000</v>
      </c>
    </row>
    <row r="47" spans="5:13" ht="15" thickBot="1" x14ac:dyDescent="0.4">
      <c r="E47" s="9">
        <v>0</v>
      </c>
      <c r="F47" s="21">
        <v>100</v>
      </c>
      <c r="G47" s="10">
        <f>E47+F47-H47</f>
        <v>-400</v>
      </c>
      <c r="H47" s="9">
        <f t="shared" si="20"/>
        <v>500</v>
      </c>
      <c r="I47" s="15">
        <f>H47*$C$5</f>
        <v>375000</v>
      </c>
      <c r="J47" s="16">
        <f>F47*350</f>
        <v>35000</v>
      </c>
      <c r="K47" s="16">
        <f>E47*200</f>
        <v>0</v>
      </c>
      <c r="L47" s="16">
        <f>IF(F47&gt;0,150000,0)</f>
        <v>150000</v>
      </c>
      <c r="M47" s="20">
        <f>I47-J47-K47-L47+MAX($M$14:$M$21)</f>
        <v>495000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41E21-291C-4798-9C4C-DE66E3492F76}">
  <dimension ref="M4:U85"/>
  <sheetViews>
    <sheetView topLeftCell="K25" zoomScale="75" workbookViewId="0">
      <selection activeCell="U33" sqref="M33:U33"/>
    </sheetView>
  </sheetViews>
  <sheetFormatPr defaultRowHeight="14.5" x14ac:dyDescent="0.35"/>
  <cols>
    <col min="13" max="13" width="25.26953125" customWidth="1"/>
    <col min="14" max="14" width="21.54296875" bestFit="1" customWidth="1"/>
    <col min="15" max="15" width="20.36328125" bestFit="1" customWidth="1"/>
    <col min="16" max="16" width="20.453125" bestFit="1" customWidth="1"/>
    <col min="17" max="18" width="24.7265625" bestFit="1" customWidth="1"/>
    <col min="19" max="20" width="22.1796875" bestFit="1" customWidth="1"/>
    <col min="21" max="21" width="16.81640625" bestFit="1" customWidth="1"/>
  </cols>
  <sheetData>
    <row r="4" spans="13:21" x14ac:dyDescent="0.35">
      <c r="M4" s="4" t="s">
        <v>29</v>
      </c>
      <c r="Q4" s="4" t="s">
        <v>67</v>
      </c>
      <c r="R4" s="4" t="s">
        <v>68</v>
      </c>
    </row>
    <row r="5" spans="13:21" x14ac:dyDescent="0.35">
      <c r="M5" t="s">
        <v>58</v>
      </c>
      <c r="N5">
        <v>5</v>
      </c>
      <c r="O5" t="s">
        <v>60</v>
      </c>
      <c r="Q5">
        <v>1</v>
      </c>
      <c r="R5">
        <v>5</v>
      </c>
    </row>
    <row r="6" spans="13:21" x14ac:dyDescent="0.35">
      <c r="M6" t="s">
        <v>59</v>
      </c>
      <c r="N6">
        <v>250</v>
      </c>
      <c r="O6" t="s">
        <v>61</v>
      </c>
      <c r="Q6">
        <v>2</v>
      </c>
      <c r="R6">
        <v>2</v>
      </c>
    </row>
    <row r="7" spans="13:21" x14ac:dyDescent="0.35">
      <c r="M7" t="s">
        <v>44</v>
      </c>
      <c r="N7">
        <v>150</v>
      </c>
      <c r="O7" t="s">
        <v>61</v>
      </c>
      <c r="Q7">
        <v>3</v>
      </c>
      <c r="R7">
        <v>4</v>
      </c>
    </row>
    <row r="8" spans="13:21" x14ac:dyDescent="0.35">
      <c r="M8" t="s">
        <v>62</v>
      </c>
      <c r="N8">
        <v>3</v>
      </c>
      <c r="O8" t="s">
        <v>60</v>
      </c>
    </row>
    <row r="9" spans="13:21" x14ac:dyDescent="0.35">
      <c r="M9" t="s">
        <v>63</v>
      </c>
      <c r="N9">
        <v>100</v>
      </c>
      <c r="O9" t="s">
        <v>61</v>
      </c>
    </row>
    <row r="10" spans="13:21" x14ac:dyDescent="0.35">
      <c r="M10" t="s">
        <v>64</v>
      </c>
      <c r="N10">
        <v>50</v>
      </c>
      <c r="O10" t="s">
        <v>61</v>
      </c>
    </row>
    <row r="11" spans="13:21" x14ac:dyDescent="0.35">
      <c r="M11" t="s">
        <v>65</v>
      </c>
      <c r="N11">
        <v>2</v>
      </c>
      <c r="O11" t="s">
        <v>60</v>
      </c>
    </row>
    <row r="14" spans="13:21" ht="15" thickBot="1" x14ac:dyDescent="0.4"/>
    <row r="15" spans="13:21" x14ac:dyDescent="0.35">
      <c r="M15" s="26" t="s">
        <v>10</v>
      </c>
      <c r="N15" s="32"/>
      <c r="O15" s="32"/>
      <c r="P15" s="32"/>
      <c r="Q15" s="32"/>
      <c r="R15" s="32"/>
      <c r="S15" s="32"/>
      <c r="T15" s="32"/>
      <c r="U15" s="24"/>
    </row>
    <row r="16" spans="13:21" x14ac:dyDescent="0.35">
      <c r="M16" s="7" t="s">
        <v>50</v>
      </c>
      <c r="N16">
        <v>0</v>
      </c>
      <c r="U16" s="8"/>
    </row>
    <row r="17" spans="13:21" x14ac:dyDescent="0.35">
      <c r="M17" s="7"/>
      <c r="U17" s="8"/>
    </row>
    <row r="18" spans="13:21" x14ac:dyDescent="0.35">
      <c r="M18" s="7"/>
      <c r="U18" s="8"/>
    </row>
    <row r="19" spans="13:21" x14ac:dyDescent="0.35">
      <c r="M19" s="7" t="s">
        <v>51</v>
      </c>
      <c r="N19" t="s">
        <v>66</v>
      </c>
      <c r="O19" t="s">
        <v>69</v>
      </c>
      <c r="P19" t="s">
        <v>50</v>
      </c>
      <c r="Q19" t="s">
        <v>70</v>
      </c>
      <c r="R19" t="s">
        <v>71</v>
      </c>
      <c r="S19" t="s">
        <v>64</v>
      </c>
      <c r="T19" t="s">
        <v>63</v>
      </c>
      <c r="U19" s="8" t="s">
        <v>72</v>
      </c>
    </row>
    <row r="20" spans="13:21" x14ac:dyDescent="0.35">
      <c r="M20" s="7">
        <v>0</v>
      </c>
      <c r="N20">
        <f>$R$7</f>
        <v>4</v>
      </c>
      <c r="O20">
        <f>N20-M20</f>
        <v>4</v>
      </c>
      <c r="P20">
        <f>M20+O20-N20</f>
        <v>0</v>
      </c>
      <c r="Q20">
        <f>O20*$N$7</f>
        <v>600</v>
      </c>
      <c r="R20">
        <f>$N$6*IF(O20&gt;0,1,0)</f>
        <v>250</v>
      </c>
      <c r="S20">
        <f>$N$10*M20</f>
        <v>0</v>
      </c>
      <c r="T20">
        <f>$N$9*IF(M20&gt;0,1,0)</f>
        <v>0</v>
      </c>
      <c r="U20" s="36">
        <f>SUM(Q20:T20)</f>
        <v>850</v>
      </c>
    </row>
    <row r="21" spans="13:21" x14ac:dyDescent="0.35">
      <c r="M21" s="7">
        <v>1</v>
      </c>
      <c r="N21">
        <f t="shared" ref="N21:N23" si="0">$R$7</f>
        <v>4</v>
      </c>
      <c r="O21">
        <f t="shared" ref="O21:O23" si="1">N21-M21</f>
        <v>3</v>
      </c>
      <c r="P21">
        <f t="shared" ref="P21:P23" si="2">M21+O21-N21</f>
        <v>0</v>
      </c>
      <c r="Q21">
        <f>O21*$N$7</f>
        <v>450</v>
      </c>
      <c r="R21">
        <f>$N$6*IF(O21&gt;0,1,0)</f>
        <v>250</v>
      </c>
      <c r="S21">
        <f>$N$10*M21</f>
        <v>50</v>
      </c>
      <c r="T21">
        <f>$N$9*IF(M21&gt;0,1,0)</f>
        <v>100</v>
      </c>
      <c r="U21" s="8">
        <f t="shared" ref="U21:U23" si="3">SUM(Q21:T21)</f>
        <v>850</v>
      </c>
    </row>
    <row r="22" spans="13:21" x14ac:dyDescent="0.35">
      <c r="M22" s="7">
        <v>2</v>
      </c>
      <c r="N22">
        <f t="shared" si="0"/>
        <v>4</v>
      </c>
      <c r="O22">
        <f t="shared" si="1"/>
        <v>2</v>
      </c>
      <c r="P22">
        <f t="shared" si="2"/>
        <v>0</v>
      </c>
      <c r="Q22">
        <f>O22*$N$7</f>
        <v>300</v>
      </c>
      <c r="R22">
        <f>$N$6*IF(O22&gt;0,1,0)</f>
        <v>250</v>
      </c>
      <c r="S22">
        <f>$N$10*M22</f>
        <v>100</v>
      </c>
      <c r="T22">
        <f>$N$9*IF(M22&gt;0,1,0)</f>
        <v>100</v>
      </c>
      <c r="U22" s="8">
        <f t="shared" si="3"/>
        <v>750</v>
      </c>
    </row>
    <row r="23" spans="13:21" ht="15" thickBot="1" x14ac:dyDescent="0.4">
      <c r="M23" s="9">
        <v>3</v>
      </c>
      <c r="N23" s="21">
        <f t="shared" si="0"/>
        <v>4</v>
      </c>
      <c r="O23" s="21">
        <f t="shared" si="1"/>
        <v>1</v>
      </c>
      <c r="P23" s="21">
        <f t="shared" si="2"/>
        <v>0</v>
      </c>
      <c r="Q23" s="21">
        <f>O23*$N$7</f>
        <v>150</v>
      </c>
      <c r="R23" s="21">
        <f>$N$6*IF(O23&gt;0,1,0)</f>
        <v>250</v>
      </c>
      <c r="S23" s="21">
        <f>$N$10*M23</f>
        <v>150</v>
      </c>
      <c r="T23" s="21">
        <f>$N$9*IF(M23&gt;0,1,0)</f>
        <v>100</v>
      </c>
      <c r="U23" s="10">
        <f t="shared" si="3"/>
        <v>650</v>
      </c>
    </row>
    <row r="25" spans="13:21" ht="15" thickBot="1" x14ac:dyDescent="0.4"/>
    <row r="26" spans="13:21" x14ac:dyDescent="0.35">
      <c r="M26" s="26" t="s">
        <v>16</v>
      </c>
      <c r="N26" s="32"/>
      <c r="O26" s="32"/>
      <c r="P26" s="32"/>
      <c r="Q26" s="32"/>
      <c r="R26" s="32"/>
      <c r="S26" s="32"/>
      <c r="T26" s="32"/>
      <c r="U26" s="24"/>
    </row>
    <row r="27" spans="13:21" x14ac:dyDescent="0.35">
      <c r="M27" s="7" t="s">
        <v>73</v>
      </c>
      <c r="U27" s="8"/>
    </row>
    <row r="28" spans="13:21" x14ac:dyDescent="0.35">
      <c r="M28" s="7" t="s">
        <v>50</v>
      </c>
      <c r="N28">
        <v>0</v>
      </c>
      <c r="U28" s="8"/>
    </row>
    <row r="29" spans="13:21" x14ac:dyDescent="0.35">
      <c r="M29" s="7" t="s">
        <v>51</v>
      </c>
      <c r="N29" t="s">
        <v>66</v>
      </c>
      <c r="O29" t="s">
        <v>69</v>
      </c>
      <c r="P29" t="s">
        <v>50</v>
      </c>
      <c r="Q29" t="s">
        <v>70</v>
      </c>
      <c r="R29" t="s">
        <v>71</v>
      </c>
      <c r="S29" t="s">
        <v>64</v>
      </c>
      <c r="T29" t="s">
        <v>63</v>
      </c>
      <c r="U29" s="8" t="s">
        <v>72</v>
      </c>
    </row>
    <row r="30" spans="13:21" x14ac:dyDescent="0.35">
      <c r="M30" s="7">
        <v>0</v>
      </c>
      <c r="N30">
        <f>$R$6</f>
        <v>2</v>
      </c>
      <c r="O30">
        <f>N30-M30</f>
        <v>2</v>
      </c>
      <c r="P30">
        <f>M30+O30-N30</f>
        <v>0</v>
      </c>
      <c r="Q30">
        <f>O30*$N$7</f>
        <v>300</v>
      </c>
      <c r="R30">
        <f>$N$6*IF(O30&gt;0,1,0)</f>
        <v>250</v>
      </c>
      <c r="S30">
        <f>$N$10*M30</f>
        <v>0</v>
      </c>
      <c r="T30">
        <f>$N$9*IF(M30&gt;0,1,0)</f>
        <v>0</v>
      </c>
      <c r="U30" s="8">
        <f>SUM(Q30:T30)+$U$20</f>
        <v>1400</v>
      </c>
    </row>
    <row r="31" spans="13:21" x14ac:dyDescent="0.35">
      <c r="M31" s="7">
        <v>1</v>
      </c>
      <c r="N31">
        <f t="shared" ref="N31:N32" si="4">$R$6</f>
        <v>2</v>
      </c>
      <c r="O31">
        <f t="shared" ref="O31:O32" si="5">N31-M31</f>
        <v>1</v>
      </c>
      <c r="P31">
        <f t="shared" ref="P31:P32" si="6">M31+O31-N31</f>
        <v>0</v>
      </c>
      <c r="Q31">
        <f>O31*$N$7</f>
        <v>150</v>
      </c>
      <c r="R31">
        <f>$N$6*IF(O31&gt;0,1,0)</f>
        <v>250</v>
      </c>
      <c r="S31">
        <f>$N$10*M31</f>
        <v>50</v>
      </c>
      <c r="T31">
        <f>$N$9*IF(M31&gt;0,1,0)</f>
        <v>100</v>
      </c>
      <c r="U31" s="8">
        <f>SUM(Q31:T31)+$U$20</f>
        <v>1400</v>
      </c>
    </row>
    <row r="32" spans="13:21" x14ac:dyDescent="0.35">
      <c r="M32" s="7">
        <v>2</v>
      </c>
      <c r="N32">
        <f t="shared" si="4"/>
        <v>2</v>
      </c>
      <c r="O32">
        <f t="shared" si="5"/>
        <v>0</v>
      </c>
      <c r="P32">
        <f t="shared" si="6"/>
        <v>0</v>
      </c>
      <c r="Q32">
        <f>O32*$N$7</f>
        <v>0</v>
      </c>
      <c r="R32">
        <f>$N$6*IF(O32&gt;0,1,0)</f>
        <v>0</v>
      </c>
      <c r="S32">
        <f>$N$10*M32</f>
        <v>100</v>
      </c>
      <c r="T32">
        <f>$N$9*IF(M32&gt;0,1,0)</f>
        <v>100</v>
      </c>
      <c r="U32" s="36">
        <f>SUM(Q32:T32)+$U$20</f>
        <v>1050</v>
      </c>
    </row>
    <row r="33" spans="13:21" x14ac:dyDescent="0.35">
      <c r="M33" s="7"/>
      <c r="U33" s="8"/>
    </row>
    <row r="34" spans="13:21" x14ac:dyDescent="0.35">
      <c r="M34" s="7"/>
      <c r="U34" s="8"/>
    </row>
    <row r="35" spans="13:21" x14ac:dyDescent="0.35">
      <c r="M35" s="7" t="s">
        <v>74</v>
      </c>
      <c r="U35" s="8"/>
    </row>
    <row r="36" spans="13:21" x14ac:dyDescent="0.35">
      <c r="M36" s="7" t="s">
        <v>50</v>
      </c>
      <c r="N36">
        <v>1</v>
      </c>
      <c r="U36" s="8"/>
    </row>
    <row r="37" spans="13:21" x14ac:dyDescent="0.35">
      <c r="M37" s="7" t="s">
        <v>51</v>
      </c>
      <c r="N37" t="s">
        <v>66</v>
      </c>
      <c r="O37" t="s">
        <v>69</v>
      </c>
      <c r="P37" t="s">
        <v>50</v>
      </c>
      <c r="Q37" t="s">
        <v>70</v>
      </c>
      <c r="R37" t="s">
        <v>71</v>
      </c>
      <c r="S37" t="s">
        <v>64</v>
      </c>
      <c r="T37" t="s">
        <v>63</v>
      </c>
      <c r="U37" s="8" t="s">
        <v>72</v>
      </c>
    </row>
    <row r="38" spans="13:21" x14ac:dyDescent="0.35">
      <c r="M38" s="7">
        <v>0</v>
      </c>
      <c r="N38">
        <f>$R$6</f>
        <v>2</v>
      </c>
      <c r="O38">
        <v>3</v>
      </c>
      <c r="P38">
        <f>M38+O38-N38</f>
        <v>1</v>
      </c>
      <c r="Q38">
        <f>O38*$N$7</f>
        <v>450</v>
      </c>
      <c r="R38">
        <f>$N$6*IF(O38&gt;0,1,0)</f>
        <v>250</v>
      </c>
      <c r="S38">
        <f>$N$10*M38</f>
        <v>0</v>
      </c>
      <c r="T38">
        <f>$N$9*IF(M38&gt;0,1,0)</f>
        <v>0</v>
      </c>
      <c r="U38" s="8">
        <f>SUM(Q38:T38)+$U$21</f>
        <v>1550</v>
      </c>
    </row>
    <row r="39" spans="13:21" x14ac:dyDescent="0.35">
      <c r="M39" s="7">
        <v>1</v>
      </c>
      <c r="N39">
        <f t="shared" ref="N39:N41" si="7">$R$6</f>
        <v>2</v>
      </c>
      <c r="O39">
        <v>2</v>
      </c>
      <c r="P39">
        <f t="shared" ref="P39:P41" si="8">M39+O39-N39</f>
        <v>1</v>
      </c>
      <c r="Q39">
        <f>O39*$N$7</f>
        <v>300</v>
      </c>
      <c r="R39">
        <f>$N$6*IF(O39&gt;0,1,0)</f>
        <v>250</v>
      </c>
      <c r="S39">
        <f>$N$10*M39</f>
        <v>50</v>
      </c>
      <c r="T39">
        <f>$N$9*IF(M39&gt;0,1,0)</f>
        <v>100</v>
      </c>
      <c r="U39" s="8">
        <f>SUM(Q39:T39)+$U$21</f>
        <v>1550</v>
      </c>
    </row>
    <row r="40" spans="13:21" x14ac:dyDescent="0.35">
      <c r="M40" s="7">
        <v>2</v>
      </c>
      <c r="N40">
        <f t="shared" si="7"/>
        <v>2</v>
      </c>
      <c r="O40">
        <v>1</v>
      </c>
      <c r="P40">
        <f t="shared" si="8"/>
        <v>1</v>
      </c>
      <c r="Q40">
        <f>O40*$N$7</f>
        <v>150</v>
      </c>
      <c r="R40">
        <f>$N$6*IF(O40&gt;0,1,0)</f>
        <v>250</v>
      </c>
      <c r="S40">
        <f>$N$10*M40</f>
        <v>100</v>
      </c>
      <c r="T40">
        <f>$N$9*IF(M40&gt;0,1,0)</f>
        <v>100</v>
      </c>
      <c r="U40" s="8">
        <f>SUM(Q40:T40)+$U$21</f>
        <v>1450</v>
      </c>
    </row>
    <row r="41" spans="13:21" x14ac:dyDescent="0.35">
      <c r="M41" s="7">
        <v>3</v>
      </c>
      <c r="N41">
        <f t="shared" si="7"/>
        <v>2</v>
      </c>
      <c r="O41">
        <v>0</v>
      </c>
      <c r="P41">
        <f t="shared" si="8"/>
        <v>1</v>
      </c>
      <c r="Q41">
        <f>O41*$N$7</f>
        <v>0</v>
      </c>
      <c r="R41">
        <f>$N$6*IF(O41&gt;0,1,0)</f>
        <v>0</v>
      </c>
      <c r="S41">
        <f>$N$10*M41</f>
        <v>150</v>
      </c>
      <c r="T41">
        <f>$N$9*IF(M41&gt;0,1,0)</f>
        <v>100</v>
      </c>
      <c r="U41" s="8">
        <f>SUM(Q41:T41)+$U$21</f>
        <v>1100</v>
      </c>
    </row>
    <row r="42" spans="13:21" x14ac:dyDescent="0.35">
      <c r="M42" s="7"/>
      <c r="U42" s="8"/>
    </row>
    <row r="43" spans="13:21" x14ac:dyDescent="0.35">
      <c r="M43" s="7" t="s">
        <v>75</v>
      </c>
      <c r="U43" s="8"/>
    </row>
    <row r="44" spans="13:21" x14ac:dyDescent="0.35">
      <c r="M44" s="7" t="s">
        <v>50</v>
      </c>
      <c r="N44">
        <v>2</v>
      </c>
      <c r="U44" s="8"/>
    </row>
    <row r="45" spans="13:21" x14ac:dyDescent="0.35">
      <c r="M45" s="7" t="s">
        <v>51</v>
      </c>
      <c r="N45" t="s">
        <v>66</v>
      </c>
      <c r="O45" t="s">
        <v>69</v>
      </c>
      <c r="P45" t="s">
        <v>50</v>
      </c>
      <c r="Q45" t="s">
        <v>70</v>
      </c>
      <c r="R45" t="s">
        <v>71</v>
      </c>
      <c r="S45" t="s">
        <v>64</v>
      </c>
      <c r="T45" t="s">
        <v>63</v>
      </c>
      <c r="U45" s="8" t="s">
        <v>72</v>
      </c>
    </row>
    <row r="46" spans="13:21" x14ac:dyDescent="0.35">
      <c r="M46" s="7">
        <v>0</v>
      </c>
      <c r="N46">
        <f>$R$6</f>
        <v>2</v>
      </c>
      <c r="O46">
        <v>4</v>
      </c>
      <c r="P46">
        <f>M46+O46-N46</f>
        <v>2</v>
      </c>
      <c r="Q46">
        <f>O46*$N$7</f>
        <v>600</v>
      </c>
      <c r="R46">
        <f>$N$6*IF(O46&gt;0,1,0)</f>
        <v>250</v>
      </c>
      <c r="S46">
        <f>$N$10*M46</f>
        <v>0</v>
      </c>
      <c r="T46">
        <f>$N$9*IF(M46&gt;0,1,0)</f>
        <v>0</v>
      </c>
      <c r="U46" s="8">
        <f>SUM(Q46:T46)+$U$22</f>
        <v>1600</v>
      </c>
    </row>
    <row r="47" spans="13:21" x14ac:dyDescent="0.35">
      <c r="M47" s="7">
        <v>1</v>
      </c>
      <c r="N47">
        <f t="shared" ref="N47:N49" si="9">$R$6</f>
        <v>2</v>
      </c>
      <c r="O47">
        <v>3</v>
      </c>
      <c r="P47">
        <f t="shared" ref="P47:P49" si="10">M47+O47-N47</f>
        <v>2</v>
      </c>
      <c r="Q47">
        <f>O47*$N$7</f>
        <v>450</v>
      </c>
      <c r="R47">
        <f>$N$6*IF(O47&gt;0,1,0)</f>
        <v>250</v>
      </c>
      <c r="S47">
        <f>$N$10*M47</f>
        <v>50</v>
      </c>
      <c r="T47">
        <f>$N$9*IF(M47&gt;0,1,0)</f>
        <v>100</v>
      </c>
      <c r="U47" s="8">
        <f>SUM(Q47:T47)+$U$22</f>
        <v>1600</v>
      </c>
    </row>
    <row r="48" spans="13:21" x14ac:dyDescent="0.35">
      <c r="M48" s="7">
        <v>2</v>
      </c>
      <c r="N48">
        <f t="shared" si="9"/>
        <v>2</v>
      </c>
      <c r="O48">
        <v>2</v>
      </c>
      <c r="P48">
        <f t="shared" si="10"/>
        <v>2</v>
      </c>
      <c r="Q48">
        <f>O48*$N$7</f>
        <v>300</v>
      </c>
      <c r="R48">
        <f>$N$6*IF(O48&gt;0,1,0)</f>
        <v>250</v>
      </c>
      <c r="S48">
        <f>$N$10*M48</f>
        <v>100</v>
      </c>
      <c r="T48">
        <f>$N$9*IF(M48&gt;0,1,0)</f>
        <v>100</v>
      </c>
      <c r="U48" s="8">
        <f>SUM(Q48:T48)+$U$22</f>
        <v>1500</v>
      </c>
    </row>
    <row r="49" spans="13:21" x14ac:dyDescent="0.35">
      <c r="M49" s="7">
        <v>3</v>
      </c>
      <c r="N49">
        <f t="shared" si="9"/>
        <v>2</v>
      </c>
      <c r="O49">
        <v>1</v>
      </c>
      <c r="P49">
        <f t="shared" si="10"/>
        <v>2</v>
      </c>
      <c r="Q49">
        <f>O49*$N$7</f>
        <v>150</v>
      </c>
      <c r="R49">
        <f>$N$6*IF(O49&gt;0,1,0)</f>
        <v>250</v>
      </c>
      <c r="S49">
        <f>$N$10*M49</f>
        <v>150</v>
      </c>
      <c r="T49">
        <f>$N$9*IF(M49&gt;0,1,0)</f>
        <v>100</v>
      </c>
      <c r="U49" s="8">
        <f>SUM(Q49:T49)+$U$22</f>
        <v>1400</v>
      </c>
    </row>
    <row r="50" spans="13:21" x14ac:dyDescent="0.35">
      <c r="M50" s="7"/>
      <c r="U50" s="8"/>
    </row>
    <row r="51" spans="13:21" x14ac:dyDescent="0.35">
      <c r="M51" s="7" t="s">
        <v>76</v>
      </c>
      <c r="U51" s="8"/>
    </row>
    <row r="52" spans="13:21" x14ac:dyDescent="0.35">
      <c r="M52" s="7" t="s">
        <v>50</v>
      </c>
      <c r="N52">
        <v>3</v>
      </c>
      <c r="U52" s="8"/>
    </row>
    <row r="53" spans="13:21" x14ac:dyDescent="0.35">
      <c r="M53" s="7" t="s">
        <v>51</v>
      </c>
      <c r="N53" t="s">
        <v>66</v>
      </c>
      <c r="O53" t="s">
        <v>69</v>
      </c>
      <c r="P53" t="s">
        <v>50</v>
      </c>
      <c r="Q53" t="s">
        <v>70</v>
      </c>
      <c r="R53" t="s">
        <v>71</v>
      </c>
      <c r="S53" t="s">
        <v>64</v>
      </c>
      <c r="T53" t="s">
        <v>63</v>
      </c>
      <c r="U53" s="8" t="s">
        <v>72</v>
      </c>
    </row>
    <row r="54" spans="13:21" x14ac:dyDescent="0.35">
      <c r="M54" s="7">
        <v>0</v>
      </c>
      <c r="N54">
        <f>$R$6</f>
        <v>2</v>
      </c>
      <c r="O54">
        <v>5</v>
      </c>
      <c r="P54">
        <f>M54+O54-N54</f>
        <v>3</v>
      </c>
      <c r="Q54">
        <f>O54*$N$7</f>
        <v>750</v>
      </c>
      <c r="R54">
        <f>$N$6*IF(O54&gt;0,1,0)</f>
        <v>250</v>
      </c>
      <c r="S54">
        <f>$N$10*M54</f>
        <v>0</v>
      </c>
      <c r="T54">
        <f>$N$9*IF(M54&gt;0,1,0)</f>
        <v>0</v>
      </c>
      <c r="U54" s="8">
        <f>SUM(Q54:T54)+$U$23</f>
        <v>1650</v>
      </c>
    </row>
    <row r="55" spans="13:21" x14ac:dyDescent="0.35">
      <c r="M55" s="7">
        <v>1</v>
      </c>
      <c r="N55">
        <f t="shared" ref="N55:N57" si="11">$R$6</f>
        <v>2</v>
      </c>
      <c r="O55">
        <v>4</v>
      </c>
      <c r="P55">
        <f t="shared" ref="P55:P57" si="12">M55+O55-N55</f>
        <v>3</v>
      </c>
      <c r="Q55">
        <f>O55*$N$7</f>
        <v>600</v>
      </c>
      <c r="R55">
        <f>$N$6*IF(O55&gt;0,1,0)</f>
        <v>250</v>
      </c>
      <c r="S55">
        <f>$N$10*M55</f>
        <v>50</v>
      </c>
      <c r="T55">
        <f>$N$9*IF(M55&gt;0,1,0)</f>
        <v>100</v>
      </c>
      <c r="U55" s="8">
        <f>SUM(Q55:T55)+$U$23</f>
        <v>1650</v>
      </c>
    </row>
    <row r="56" spans="13:21" x14ac:dyDescent="0.35">
      <c r="M56" s="7">
        <v>2</v>
      </c>
      <c r="N56">
        <f t="shared" si="11"/>
        <v>2</v>
      </c>
      <c r="O56">
        <v>3</v>
      </c>
      <c r="P56">
        <f t="shared" si="12"/>
        <v>3</v>
      </c>
      <c r="Q56">
        <f>O56*$N$7</f>
        <v>450</v>
      </c>
      <c r="R56">
        <f>$N$6*IF(O56&gt;0,1,0)</f>
        <v>250</v>
      </c>
      <c r="S56">
        <f>$N$10*M56</f>
        <v>100</v>
      </c>
      <c r="T56">
        <f>$N$9*IF(M56&gt;0,1,0)</f>
        <v>100</v>
      </c>
      <c r="U56" s="8">
        <f>SUM(Q56:T56)+$U$23</f>
        <v>1550</v>
      </c>
    </row>
    <row r="57" spans="13:21" x14ac:dyDescent="0.35">
      <c r="M57" s="7">
        <v>3</v>
      </c>
      <c r="N57">
        <f t="shared" si="11"/>
        <v>2</v>
      </c>
      <c r="O57">
        <v>2</v>
      </c>
      <c r="P57">
        <f t="shared" si="12"/>
        <v>3</v>
      </c>
      <c r="Q57">
        <f>O57*$N$7</f>
        <v>300</v>
      </c>
      <c r="R57">
        <f>$N$6*IF(O57&gt;0,1,0)</f>
        <v>250</v>
      </c>
      <c r="S57">
        <f>$N$10*M57</f>
        <v>150</v>
      </c>
      <c r="T57">
        <f>$N$9*IF(M57&gt;0,1,0)</f>
        <v>100</v>
      </c>
      <c r="U57" s="8">
        <f>SUM(Q57:T57)+$U$23</f>
        <v>1450</v>
      </c>
    </row>
    <row r="58" spans="13:21" x14ac:dyDescent="0.35">
      <c r="M58" s="7"/>
      <c r="U58" s="8"/>
    </row>
    <row r="59" spans="13:21" x14ac:dyDescent="0.35">
      <c r="M59" s="7" t="s">
        <v>51</v>
      </c>
      <c r="N59" t="s">
        <v>77</v>
      </c>
      <c r="U59" s="8"/>
    </row>
    <row r="60" spans="13:21" x14ac:dyDescent="0.35">
      <c r="M60" s="7">
        <v>0</v>
      </c>
      <c r="N60">
        <f>MIN(U30,U38,U46,U54)</f>
        <v>1400</v>
      </c>
      <c r="U60" s="8"/>
    </row>
    <row r="61" spans="13:21" x14ac:dyDescent="0.35">
      <c r="M61" s="7">
        <v>1</v>
      </c>
      <c r="N61">
        <f t="shared" ref="N61:N63" si="13">MIN(U31,U39,U47,U55)</f>
        <v>1400</v>
      </c>
      <c r="U61" s="8"/>
    </row>
    <row r="62" spans="13:21" x14ac:dyDescent="0.35">
      <c r="M62" s="7">
        <v>2</v>
      </c>
      <c r="N62" s="35">
        <f t="shared" si="13"/>
        <v>1050</v>
      </c>
      <c r="U62" s="8"/>
    </row>
    <row r="63" spans="13:21" ht="15" thickBot="1" x14ac:dyDescent="0.4">
      <c r="M63" s="9">
        <v>3</v>
      </c>
      <c r="N63" s="21">
        <f t="shared" si="13"/>
        <v>1100</v>
      </c>
      <c r="O63" s="21"/>
      <c r="P63" s="21"/>
      <c r="Q63" s="21"/>
      <c r="R63" s="21"/>
      <c r="S63" s="21"/>
      <c r="T63" s="21"/>
      <c r="U63" s="10"/>
    </row>
    <row r="64" spans="13:21" ht="15" thickBot="1" x14ac:dyDescent="0.4"/>
    <row r="65" spans="13:21" x14ac:dyDescent="0.35">
      <c r="M65" s="26" t="s">
        <v>21</v>
      </c>
      <c r="N65" s="32" t="s">
        <v>51</v>
      </c>
      <c r="O65" s="32">
        <v>2</v>
      </c>
      <c r="P65" s="32"/>
      <c r="Q65" s="32"/>
      <c r="R65" s="32"/>
      <c r="S65" s="32"/>
      <c r="T65" s="32"/>
      <c r="U65" s="24"/>
    </row>
    <row r="66" spans="13:21" x14ac:dyDescent="0.35">
      <c r="M66" s="7"/>
      <c r="U66" s="8"/>
    </row>
    <row r="67" spans="13:21" x14ac:dyDescent="0.35">
      <c r="M67" s="7" t="s">
        <v>73</v>
      </c>
      <c r="U67" s="8"/>
    </row>
    <row r="68" spans="13:21" x14ac:dyDescent="0.35">
      <c r="M68" s="7" t="s">
        <v>50</v>
      </c>
      <c r="N68">
        <v>0</v>
      </c>
      <c r="U68" s="8"/>
    </row>
    <row r="69" spans="13:21" x14ac:dyDescent="0.35">
      <c r="M69" s="7" t="s">
        <v>51</v>
      </c>
      <c r="N69" t="s">
        <v>66</v>
      </c>
      <c r="O69" t="s">
        <v>69</v>
      </c>
      <c r="P69" t="s">
        <v>50</v>
      </c>
      <c r="Q69" t="s">
        <v>70</v>
      </c>
      <c r="R69" t="s">
        <v>71</v>
      </c>
      <c r="S69" t="s">
        <v>64</v>
      </c>
      <c r="T69" t="s">
        <v>63</v>
      </c>
      <c r="U69" s="8" t="s">
        <v>72</v>
      </c>
    </row>
    <row r="70" spans="13:21" x14ac:dyDescent="0.35">
      <c r="M70" s="7">
        <f>$O$65</f>
        <v>2</v>
      </c>
      <c r="N70">
        <f>$R$5</f>
        <v>5</v>
      </c>
      <c r="O70">
        <v>3</v>
      </c>
      <c r="P70">
        <f>M70+O70-N70</f>
        <v>0</v>
      </c>
      <c r="Q70">
        <f>O70*$N$7</f>
        <v>450</v>
      </c>
      <c r="R70">
        <f>$N$6*IF(O70&gt;0,1,0)</f>
        <v>250</v>
      </c>
      <c r="S70">
        <f>$N$10*M70</f>
        <v>100</v>
      </c>
      <c r="T70">
        <f>$N$9*IF(M70&gt;0,1,0)</f>
        <v>100</v>
      </c>
      <c r="U70" s="8">
        <f>SUM(Q70:T70)+N60</f>
        <v>2300</v>
      </c>
    </row>
    <row r="71" spans="13:21" x14ac:dyDescent="0.35">
      <c r="M71" s="7"/>
      <c r="U71" s="8"/>
    </row>
    <row r="72" spans="13:21" x14ac:dyDescent="0.35">
      <c r="M72" s="7" t="s">
        <v>74</v>
      </c>
      <c r="U72" s="8"/>
    </row>
    <row r="73" spans="13:21" x14ac:dyDescent="0.35">
      <c r="M73" s="7" t="s">
        <v>50</v>
      </c>
      <c r="N73">
        <v>1</v>
      </c>
      <c r="U73" s="8"/>
    </row>
    <row r="74" spans="13:21" x14ac:dyDescent="0.35">
      <c r="M74" s="7" t="s">
        <v>51</v>
      </c>
      <c r="N74" t="s">
        <v>66</v>
      </c>
      <c r="O74" t="s">
        <v>69</v>
      </c>
      <c r="P74" t="s">
        <v>50</v>
      </c>
      <c r="Q74" t="s">
        <v>70</v>
      </c>
      <c r="R74" t="s">
        <v>71</v>
      </c>
      <c r="S74" t="s">
        <v>64</v>
      </c>
      <c r="T74" t="s">
        <v>63</v>
      </c>
      <c r="U74" s="8" t="s">
        <v>72</v>
      </c>
    </row>
    <row r="75" spans="13:21" x14ac:dyDescent="0.35">
      <c r="M75" s="7">
        <f>$O$65</f>
        <v>2</v>
      </c>
      <c r="N75">
        <f>$R$5</f>
        <v>5</v>
      </c>
      <c r="O75">
        <v>4</v>
      </c>
      <c r="P75">
        <f>M75+O75-N75</f>
        <v>1</v>
      </c>
      <c r="Q75">
        <f>O75*$N$7</f>
        <v>600</v>
      </c>
      <c r="R75">
        <f>$N$6*IF(O75&gt;0,1,0)</f>
        <v>250</v>
      </c>
      <c r="S75">
        <f>$N$10*M75</f>
        <v>100</v>
      </c>
      <c r="T75">
        <f>$N$9*IF(M75&gt;0,1,0)</f>
        <v>100</v>
      </c>
      <c r="U75" s="8">
        <f>SUM(Q75:T75)+N61</f>
        <v>2450</v>
      </c>
    </row>
    <row r="76" spans="13:21" x14ac:dyDescent="0.35">
      <c r="M76" s="7"/>
      <c r="U76" s="8"/>
    </row>
    <row r="77" spans="13:21" x14ac:dyDescent="0.35">
      <c r="M77" s="7" t="s">
        <v>75</v>
      </c>
      <c r="U77" s="8"/>
    </row>
    <row r="78" spans="13:21" x14ac:dyDescent="0.35">
      <c r="M78" s="7" t="s">
        <v>50</v>
      </c>
      <c r="N78">
        <v>2</v>
      </c>
      <c r="U78" s="8"/>
    </row>
    <row r="79" spans="13:21" x14ac:dyDescent="0.35">
      <c r="M79" s="7" t="s">
        <v>51</v>
      </c>
      <c r="N79" t="s">
        <v>66</v>
      </c>
      <c r="O79" t="s">
        <v>69</v>
      </c>
      <c r="P79" t="s">
        <v>50</v>
      </c>
      <c r="Q79" t="s">
        <v>70</v>
      </c>
      <c r="R79" t="s">
        <v>71</v>
      </c>
      <c r="S79" t="s">
        <v>64</v>
      </c>
      <c r="T79" t="s">
        <v>63</v>
      </c>
      <c r="U79" s="8" t="s">
        <v>72</v>
      </c>
    </row>
    <row r="80" spans="13:21" ht="15" thickBot="1" x14ac:dyDescent="0.4">
      <c r="M80" s="9">
        <f>$O$65</f>
        <v>2</v>
      </c>
      <c r="N80" s="21">
        <f>$R$5</f>
        <v>5</v>
      </c>
      <c r="O80" s="21">
        <v>5</v>
      </c>
      <c r="P80" s="21">
        <f>M80+O80-N80</f>
        <v>2</v>
      </c>
      <c r="Q80" s="21">
        <f>O80*$N$7</f>
        <v>750</v>
      </c>
      <c r="R80" s="21">
        <f>$N$6*IF(O80&gt;0,1,0)</f>
        <v>250</v>
      </c>
      <c r="S80" s="21">
        <f>$N$10*M80</f>
        <v>100</v>
      </c>
      <c r="T80" s="21">
        <f>$N$9*IF(M80&gt;0,1,0)</f>
        <v>100</v>
      </c>
      <c r="U80" s="34">
        <f>SUM(Q80:T80)+N62</f>
        <v>2250</v>
      </c>
    </row>
    <row r="81" spans="13:14" ht="15" thickBot="1" x14ac:dyDescent="0.4"/>
    <row r="82" spans="13:14" x14ac:dyDescent="0.35">
      <c r="M82" s="26" t="s">
        <v>78</v>
      </c>
      <c r="N82" s="24"/>
    </row>
    <row r="83" spans="13:14" x14ac:dyDescent="0.35">
      <c r="M83" s="7" t="s">
        <v>79</v>
      </c>
      <c r="N83" s="8">
        <v>5</v>
      </c>
    </row>
    <row r="84" spans="13:14" x14ac:dyDescent="0.35">
      <c r="M84" s="7" t="s">
        <v>80</v>
      </c>
      <c r="N84" s="8">
        <v>0</v>
      </c>
    </row>
    <row r="85" spans="13:14" ht="15" thickBot="1" x14ac:dyDescent="0.4">
      <c r="M85" s="9" t="s">
        <v>81</v>
      </c>
      <c r="N85" s="10">
        <v>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A9533-4D6E-468E-AD22-2DD0482FFBDD}">
  <dimension ref="C3:P198"/>
  <sheetViews>
    <sheetView topLeftCell="A13" zoomScale="48" workbookViewId="0">
      <selection activeCell="O8" sqref="O8"/>
    </sheetView>
  </sheetViews>
  <sheetFormatPr defaultRowHeight="14.5" x14ac:dyDescent="0.35"/>
  <cols>
    <col min="4" max="4" width="23.90625" bestFit="1" customWidth="1"/>
    <col min="5" max="5" width="29.453125" bestFit="1" customWidth="1"/>
    <col min="6" max="6" width="19.6328125" bestFit="1" customWidth="1"/>
    <col min="7" max="8" width="19.90625" bestFit="1" customWidth="1"/>
    <col min="9" max="9" width="17.26953125" bestFit="1" customWidth="1"/>
    <col min="10" max="10" width="24.26953125" bestFit="1" customWidth="1"/>
    <col min="11" max="11" width="22.54296875" bestFit="1" customWidth="1"/>
    <col min="12" max="12" width="32.453125" bestFit="1" customWidth="1"/>
    <col min="14" max="14" width="27.1796875" bestFit="1" customWidth="1"/>
    <col min="15" max="16" width="24.7265625" bestFit="1" customWidth="1"/>
  </cols>
  <sheetData>
    <row r="3" spans="4:16" x14ac:dyDescent="0.35">
      <c r="D3" s="4" t="s">
        <v>91</v>
      </c>
      <c r="I3" t="s">
        <v>92</v>
      </c>
      <c r="J3" t="s">
        <v>93</v>
      </c>
      <c r="K3" t="s">
        <v>66</v>
      </c>
      <c r="L3" s="4" t="s">
        <v>108</v>
      </c>
    </row>
    <row r="4" spans="4:16" x14ac:dyDescent="0.35">
      <c r="D4" t="s">
        <v>82</v>
      </c>
      <c r="E4">
        <v>40</v>
      </c>
      <c r="F4" t="s">
        <v>86</v>
      </c>
      <c r="G4" t="s">
        <v>88</v>
      </c>
      <c r="I4" t="s">
        <v>94</v>
      </c>
      <c r="J4">
        <v>1</v>
      </c>
      <c r="K4">
        <v>20</v>
      </c>
      <c r="L4" s="4">
        <v>40</v>
      </c>
    </row>
    <row r="5" spans="4:16" x14ac:dyDescent="0.35">
      <c r="D5" t="s">
        <v>83</v>
      </c>
      <c r="E5">
        <v>5</v>
      </c>
      <c r="F5" t="s">
        <v>86</v>
      </c>
      <c r="I5" t="s">
        <v>95</v>
      </c>
      <c r="J5">
        <v>2</v>
      </c>
      <c r="K5">
        <v>10</v>
      </c>
      <c r="L5" s="4">
        <v>0</v>
      </c>
    </row>
    <row r="6" spans="4:16" x14ac:dyDescent="0.35">
      <c r="D6" t="s">
        <v>71</v>
      </c>
      <c r="E6">
        <v>400</v>
      </c>
      <c r="F6" t="s">
        <v>85</v>
      </c>
      <c r="G6" t="s">
        <v>88</v>
      </c>
      <c r="I6" t="s">
        <v>96</v>
      </c>
      <c r="J6">
        <v>3</v>
      </c>
      <c r="K6">
        <v>50</v>
      </c>
      <c r="L6" s="4">
        <v>40</v>
      </c>
    </row>
    <row r="7" spans="4:16" x14ac:dyDescent="0.35">
      <c r="D7" t="s">
        <v>87</v>
      </c>
      <c r="E7">
        <v>70</v>
      </c>
      <c r="F7" t="s">
        <v>85</v>
      </c>
      <c r="G7" t="s">
        <v>89</v>
      </c>
      <c r="I7" t="s">
        <v>97</v>
      </c>
      <c r="J7">
        <v>4</v>
      </c>
      <c r="K7">
        <v>10</v>
      </c>
      <c r="L7" s="4">
        <v>30</v>
      </c>
    </row>
    <row r="8" spans="4:16" x14ac:dyDescent="0.35">
      <c r="D8" t="s">
        <v>90</v>
      </c>
      <c r="E8">
        <v>20</v>
      </c>
      <c r="F8" t="s">
        <v>60</v>
      </c>
      <c r="G8" t="s">
        <v>88</v>
      </c>
      <c r="I8" t="s">
        <v>98</v>
      </c>
      <c r="J8">
        <v>5</v>
      </c>
      <c r="K8">
        <v>20</v>
      </c>
      <c r="L8" s="4">
        <v>0</v>
      </c>
    </row>
    <row r="9" spans="4:16" x14ac:dyDescent="0.35">
      <c r="D9" t="s">
        <v>64</v>
      </c>
      <c r="E9">
        <v>10</v>
      </c>
      <c r="F9" t="s">
        <v>84</v>
      </c>
      <c r="G9" t="s">
        <v>89</v>
      </c>
      <c r="L9" s="4"/>
    </row>
    <row r="13" spans="4:16" ht="15" thickBot="1" x14ac:dyDescent="0.4"/>
    <row r="14" spans="4:16" x14ac:dyDescent="0.35">
      <c r="D14" s="26" t="s">
        <v>99</v>
      </c>
      <c r="E14" s="32"/>
      <c r="F14" s="32"/>
      <c r="G14" s="32"/>
      <c r="H14" s="32"/>
      <c r="I14" s="32"/>
      <c r="J14" s="32"/>
      <c r="K14" s="32"/>
      <c r="L14" s="24"/>
      <c r="M14" s="32"/>
      <c r="N14" s="26"/>
      <c r="O14" s="32"/>
      <c r="P14" s="24"/>
    </row>
    <row r="15" spans="4:16" ht="15" thickBot="1" x14ac:dyDescent="0.4">
      <c r="D15" s="7" t="s">
        <v>50</v>
      </c>
      <c r="E15" s="38">
        <v>0</v>
      </c>
      <c r="F15" s="38"/>
      <c r="G15" s="38"/>
      <c r="H15" s="38"/>
      <c r="I15" s="38"/>
      <c r="J15" s="38"/>
      <c r="K15" s="38"/>
      <c r="L15" s="8"/>
      <c r="M15" s="38"/>
      <c r="N15" s="7"/>
      <c r="O15" s="38"/>
      <c r="P15" s="8"/>
    </row>
    <row r="16" spans="4:16" ht="15" thickBot="1" x14ac:dyDescent="0.4">
      <c r="D16" s="7"/>
      <c r="E16" s="38"/>
      <c r="F16" s="38"/>
      <c r="G16" s="38"/>
      <c r="H16" s="38"/>
      <c r="I16" s="38"/>
      <c r="J16" s="38"/>
      <c r="K16" s="38"/>
      <c r="L16" s="8"/>
      <c r="M16" s="38"/>
      <c r="N16" s="26"/>
      <c r="O16" s="32" t="s">
        <v>103</v>
      </c>
      <c r="P16" s="24" t="s">
        <v>104</v>
      </c>
    </row>
    <row r="17" spans="4:16" ht="15" thickBot="1" x14ac:dyDescent="0.4">
      <c r="D17" s="5" t="s">
        <v>51</v>
      </c>
      <c r="E17" s="11" t="s">
        <v>66</v>
      </c>
      <c r="F17" s="11" t="s">
        <v>69</v>
      </c>
      <c r="G17" s="11" t="s">
        <v>50</v>
      </c>
      <c r="H17" s="40" t="s">
        <v>44</v>
      </c>
      <c r="I17" s="11" t="s">
        <v>71</v>
      </c>
      <c r="J17" s="11" t="s">
        <v>64</v>
      </c>
      <c r="K17" s="11" t="s">
        <v>63</v>
      </c>
      <c r="L17" s="6" t="s">
        <v>100</v>
      </c>
      <c r="M17" s="38"/>
      <c r="N17" s="41" t="s">
        <v>101</v>
      </c>
      <c r="O17" s="42" t="s">
        <v>102</v>
      </c>
      <c r="P17" s="43" t="s">
        <v>102</v>
      </c>
    </row>
    <row r="18" spans="4:16" ht="15" thickTop="1" x14ac:dyDescent="0.35">
      <c r="D18" s="7">
        <v>0</v>
      </c>
      <c r="E18" s="38">
        <f>$K$8</f>
        <v>20</v>
      </c>
      <c r="F18" s="60">
        <f>E18+G18-D18</f>
        <v>20</v>
      </c>
      <c r="G18" s="60">
        <v>0</v>
      </c>
      <c r="H18" s="86">
        <f>$E$7*F18</f>
        <v>1400</v>
      </c>
      <c r="I18" s="60">
        <f>$E$6*IF(F18&gt;0,1,0)</f>
        <v>400</v>
      </c>
      <c r="J18" s="60">
        <f>D18*$E$9</f>
        <v>0</v>
      </c>
      <c r="K18" s="60">
        <v>0</v>
      </c>
      <c r="L18" s="85">
        <f>SUM(H18:K18)</f>
        <v>1800</v>
      </c>
      <c r="M18" s="38"/>
      <c r="N18" s="7">
        <f>IF(F18&lt;=$E$4,1,0)</f>
        <v>1</v>
      </c>
      <c r="O18" s="38">
        <f>IF(G18&lt;=$E$8,1,0)</f>
        <v>1</v>
      </c>
      <c r="P18" s="8">
        <f>IF(D18&lt;=$E$8,1,0)</f>
        <v>1</v>
      </c>
    </row>
    <row r="19" spans="4:16" x14ac:dyDescent="0.35">
      <c r="D19" s="7">
        <v>5</v>
      </c>
      <c r="E19" s="38">
        <f t="shared" ref="E19:E22" si="0">$K$8</f>
        <v>20</v>
      </c>
      <c r="F19" s="38">
        <f t="shared" ref="F19:F22" si="1">E19+G19-D19</f>
        <v>15</v>
      </c>
      <c r="G19" s="38">
        <v>0</v>
      </c>
      <c r="H19" s="37">
        <f t="shared" ref="H19:H22" si="2">$E$7*F19</f>
        <v>1050</v>
      </c>
      <c r="I19" s="38">
        <f t="shared" ref="I19:I22" si="3">$E$6*IF(F19&gt;0,1,0)</f>
        <v>400</v>
      </c>
      <c r="J19" s="38">
        <f t="shared" ref="J19:J22" si="4">D19*$E$9</f>
        <v>50</v>
      </c>
      <c r="K19" s="38">
        <v>0</v>
      </c>
      <c r="L19" s="8">
        <f>SUM(H19:K19)</f>
        <v>1500</v>
      </c>
      <c r="M19" s="38"/>
      <c r="N19" s="7">
        <f t="shared" ref="N19:N22" si="5">IF(F19&lt;=$E$4,1,0)</f>
        <v>1</v>
      </c>
      <c r="O19" s="38">
        <f t="shared" ref="O19:O22" si="6">IF(G19&lt;=$E$8,1,0)</f>
        <v>1</v>
      </c>
      <c r="P19" s="8">
        <f>IF(D19&lt;=$E$8,1,0)</f>
        <v>1</v>
      </c>
    </row>
    <row r="20" spans="4:16" x14ac:dyDescent="0.35">
      <c r="D20" s="7">
        <v>10</v>
      </c>
      <c r="E20" s="38">
        <f t="shared" si="0"/>
        <v>20</v>
      </c>
      <c r="F20" s="38">
        <f t="shared" si="1"/>
        <v>10</v>
      </c>
      <c r="G20" s="38">
        <v>0</v>
      </c>
      <c r="H20" s="37">
        <f t="shared" si="2"/>
        <v>700</v>
      </c>
      <c r="I20" s="38">
        <f t="shared" si="3"/>
        <v>400</v>
      </c>
      <c r="J20" s="38">
        <f t="shared" si="4"/>
        <v>100</v>
      </c>
      <c r="K20" s="38">
        <v>0</v>
      </c>
      <c r="L20" s="8">
        <f t="shared" ref="L20:L22" si="7">SUM(H20:K20)</f>
        <v>1200</v>
      </c>
      <c r="M20" s="38"/>
      <c r="N20" s="7">
        <f t="shared" si="5"/>
        <v>1</v>
      </c>
      <c r="O20" s="38">
        <f t="shared" si="6"/>
        <v>1</v>
      </c>
      <c r="P20" s="8">
        <f>IF(D20&lt;=$E$8,1,0)</f>
        <v>1</v>
      </c>
    </row>
    <row r="21" spans="4:16" x14ac:dyDescent="0.35">
      <c r="D21" s="7">
        <v>15</v>
      </c>
      <c r="E21" s="38">
        <f t="shared" si="0"/>
        <v>20</v>
      </c>
      <c r="F21" s="38">
        <f t="shared" si="1"/>
        <v>5</v>
      </c>
      <c r="G21" s="38">
        <v>0</v>
      </c>
      <c r="H21" s="37">
        <f t="shared" si="2"/>
        <v>350</v>
      </c>
      <c r="I21" s="38">
        <f t="shared" si="3"/>
        <v>400</v>
      </c>
      <c r="J21" s="38">
        <f t="shared" si="4"/>
        <v>150</v>
      </c>
      <c r="K21" s="38">
        <v>0</v>
      </c>
      <c r="L21" s="8">
        <f t="shared" si="7"/>
        <v>900</v>
      </c>
      <c r="M21" s="38"/>
      <c r="N21" s="7">
        <f t="shared" si="5"/>
        <v>1</v>
      </c>
      <c r="O21" s="38">
        <f t="shared" si="6"/>
        <v>1</v>
      </c>
      <c r="P21" s="8">
        <f>IF(D21&lt;=$E$8,1,0)</f>
        <v>1</v>
      </c>
    </row>
    <row r="22" spans="4:16" ht="15" thickBot="1" x14ac:dyDescent="0.4">
      <c r="D22" s="9">
        <v>20</v>
      </c>
      <c r="E22" s="21">
        <f t="shared" si="0"/>
        <v>20</v>
      </c>
      <c r="F22" s="87">
        <f t="shared" si="1"/>
        <v>0</v>
      </c>
      <c r="G22" s="21">
        <v>0</v>
      </c>
      <c r="H22" s="39">
        <f t="shared" si="2"/>
        <v>0</v>
      </c>
      <c r="I22" s="21">
        <f t="shared" si="3"/>
        <v>0</v>
      </c>
      <c r="J22" s="21">
        <f t="shared" si="4"/>
        <v>200</v>
      </c>
      <c r="K22" s="21">
        <v>0</v>
      </c>
      <c r="L22" s="73">
        <f t="shared" si="7"/>
        <v>200</v>
      </c>
      <c r="M22" s="21"/>
      <c r="N22" s="9">
        <f t="shared" si="5"/>
        <v>1</v>
      </c>
      <c r="O22" s="21">
        <f t="shared" si="6"/>
        <v>1</v>
      </c>
      <c r="P22" s="10">
        <f>IF(D22&lt;=$E$8,1,0)</f>
        <v>1</v>
      </c>
    </row>
    <row r="24" spans="4:16" ht="15" thickBot="1" x14ac:dyDescent="0.4"/>
    <row r="25" spans="4:16" x14ac:dyDescent="0.35">
      <c r="D25" s="26" t="s">
        <v>6</v>
      </c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24"/>
    </row>
    <row r="26" spans="4:16" x14ac:dyDescent="0.35">
      <c r="D26" s="7" t="s">
        <v>73</v>
      </c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8"/>
    </row>
    <row r="27" spans="4:16" ht="15" thickBot="1" x14ac:dyDescent="0.4">
      <c r="D27" s="7" t="s">
        <v>50</v>
      </c>
      <c r="E27" s="38">
        <v>0</v>
      </c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8"/>
    </row>
    <row r="28" spans="4:16" ht="15" thickBot="1" x14ac:dyDescent="0.4">
      <c r="D28" s="5" t="s">
        <v>51</v>
      </c>
      <c r="E28" s="11" t="s">
        <v>66</v>
      </c>
      <c r="F28" s="11" t="s">
        <v>69</v>
      </c>
      <c r="G28" s="11" t="s">
        <v>50</v>
      </c>
      <c r="H28" s="40" t="s">
        <v>44</v>
      </c>
      <c r="I28" s="11" t="s">
        <v>71</v>
      </c>
      <c r="J28" s="11" t="s">
        <v>64</v>
      </c>
      <c r="K28" s="11" t="s">
        <v>63</v>
      </c>
      <c r="L28" s="6" t="s">
        <v>100</v>
      </c>
      <c r="M28" s="38"/>
      <c r="N28" s="41" t="s">
        <v>101</v>
      </c>
      <c r="O28" s="42" t="s">
        <v>102</v>
      </c>
      <c r="P28" s="43" t="s">
        <v>102</v>
      </c>
    </row>
    <row r="29" spans="4:16" ht="15" thickTop="1" x14ac:dyDescent="0.35">
      <c r="D29" s="7">
        <v>0</v>
      </c>
      <c r="E29" s="38">
        <f>$K$7</f>
        <v>10</v>
      </c>
      <c r="F29" s="38">
        <f>E29+G29-D29</f>
        <v>10</v>
      </c>
      <c r="G29" s="38">
        <v>0</v>
      </c>
      <c r="H29" s="37">
        <f>$E$7*F29</f>
        <v>700</v>
      </c>
      <c r="I29" s="38">
        <f>$E$6*IF(F29&gt;0,1,0)</f>
        <v>400</v>
      </c>
      <c r="J29" s="38">
        <f>D29*$E$9</f>
        <v>0</v>
      </c>
      <c r="K29" s="38">
        <v>0</v>
      </c>
      <c r="L29" s="8">
        <f>SUM(H29:K29)+$L$18</f>
        <v>2900</v>
      </c>
      <c r="M29" s="38"/>
      <c r="N29" s="7">
        <f>IF(F29&lt;=$E$4,1,0)</f>
        <v>1</v>
      </c>
      <c r="O29" s="38">
        <f>IF(G29&lt;=$E$8,1,0)</f>
        <v>1</v>
      </c>
      <c r="P29" s="8">
        <f>IF(D29&lt;=$E$8,1,0)</f>
        <v>1</v>
      </c>
    </row>
    <row r="30" spans="4:16" x14ac:dyDescent="0.35">
      <c r="D30" s="7">
        <v>5</v>
      </c>
      <c r="E30" s="38">
        <f t="shared" ref="E30:E33" si="8">$K$7</f>
        <v>10</v>
      </c>
      <c r="F30" s="38">
        <f t="shared" ref="F30:F33" si="9">E30+G30-D30</f>
        <v>5</v>
      </c>
      <c r="G30" s="38">
        <v>0</v>
      </c>
      <c r="H30" s="37">
        <f t="shared" ref="H30:H33" si="10">$E$7*F30</f>
        <v>350</v>
      </c>
      <c r="I30" s="38">
        <f t="shared" ref="I30:I33" si="11">$E$6*IF(F30&gt;0,1,0)</f>
        <v>400</v>
      </c>
      <c r="J30" s="38">
        <f t="shared" ref="J30:J33" si="12">D30*$E$9</f>
        <v>50</v>
      </c>
      <c r="K30" s="38">
        <v>0</v>
      </c>
      <c r="L30" s="8">
        <f>SUM(H30:K30)+$L$18</f>
        <v>2600</v>
      </c>
      <c r="M30" s="38"/>
      <c r="N30" s="7">
        <f t="shared" ref="N30:N33" si="13">IF(F30&lt;=$E$4,1,0)</f>
        <v>1</v>
      </c>
      <c r="O30" s="38">
        <f t="shared" ref="O30:O33" si="14">IF(G30&lt;=$E$8,1,0)</f>
        <v>1</v>
      </c>
      <c r="P30" s="8">
        <f>IF(D30&lt;=$E$8,1,0)</f>
        <v>1</v>
      </c>
    </row>
    <row r="31" spans="4:16" x14ac:dyDescent="0.35">
      <c r="D31" s="7">
        <v>10</v>
      </c>
      <c r="E31" s="38">
        <f t="shared" si="8"/>
        <v>10</v>
      </c>
      <c r="F31" s="60">
        <f t="shared" si="9"/>
        <v>0</v>
      </c>
      <c r="G31" s="60">
        <v>0</v>
      </c>
      <c r="H31" s="86">
        <f t="shared" si="10"/>
        <v>0</v>
      </c>
      <c r="I31" s="60">
        <f t="shared" si="11"/>
        <v>0</v>
      </c>
      <c r="J31" s="60">
        <f t="shared" si="12"/>
        <v>100</v>
      </c>
      <c r="K31" s="60">
        <v>0</v>
      </c>
      <c r="L31" s="85">
        <f>SUM(H31:K31)+$L$18</f>
        <v>1900</v>
      </c>
      <c r="M31" s="38"/>
      <c r="N31" s="7">
        <f t="shared" si="13"/>
        <v>1</v>
      </c>
      <c r="O31" s="38">
        <f t="shared" si="14"/>
        <v>1</v>
      </c>
      <c r="P31" s="8">
        <f>IF(D31&lt;=$E$8,1,0)</f>
        <v>1</v>
      </c>
    </row>
    <row r="32" spans="4:16" x14ac:dyDescent="0.35">
      <c r="D32" s="44">
        <v>15</v>
      </c>
      <c r="E32" s="45">
        <f t="shared" si="8"/>
        <v>10</v>
      </c>
      <c r="F32" s="45">
        <f t="shared" si="9"/>
        <v>-5</v>
      </c>
      <c r="G32" s="45">
        <v>0</v>
      </c>
      <c r="H32" s="46">
        <f t="shared" si="10"/>
        <v>-350</v>
      </c>
      <c r="I32" s="45">
        <f t="shared" si="11"/>
        <v>0</v>
      </c>
      <c r="J32" s="45">
        <f t="shared" si="12"/>
        <v>150</v>
      </c>
      <c r="K32" s="45">
        <v>0</v>
      </c>
      <c r="L32" s="47"/>
      <c r="M32" s="38"/>
      <c r="N32" s="44">
        <f t="shared" si="13"/>
        <v>1</v>
      </c>
      <c r="O32" s="45">
        <f t="shared" si="14"/>
        <v>1</v>
      </c>
      <c r="P32" s="47">
        <f>IF(D32&lt;=$E$8,1,0)</f>
        <v>1</v>
      </c>
    </row>
    <row r="33" spans="4:16" ht="15" thickBot="1" x14ac:dyDescent="0.4">
      <c r="D33" s="48">
        <v>20</v>
      </c>
      <c r="E33" s="49">
        <f t="shared" si="8"/>
        <v>10</v>
      </c>
      <c r="F33" s="49">
        <f t="shared" si="9"/>
        <v>-10</v>
      </c>
      <c r="G33" s="49">
        <v>0</v>
      </c>
      <c r="H33" s="50">
        <f t="shared" si="10"/>
        <v>-700</v>
      </c>
      <c r="I33" s="49">
        <f t="shared" si="11"/>
        <v>0</v>
      </c>
      <c r="J33" s="49">
        <f t="shared" si="12"/>
        <v>200</v>
      </c>
      <c r="K33" s="49">
        <v>0</v>
      </c>
      <c r="L33" s="51"/>
      <c r="M33" s="38"/>
      <c r="N33" s="48">
        <f t="shared" si="13"/>
        <v>1</v>
      </c>
      <c r="O33" s="49">
        <f t="shared" si="14"/>
        <v>1</v>
      </c>
      <c r="P33" s="51">
        <f>IF(D33&lt;=$E$8,1,0)</f>
        <v>1</v>
      </c>
    </row>
    <row r="34" spans="4:16" x14ac:dyDescent="0.35">
      <c r="D34" s="7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8"/>
    </row>
    <row r="35" spans="4:16" x14ac:dyDescent="0.35">
      <c r="D35" s="7" t="s">
        <v>74</v>
      </c>
      <c r="E35" s="38"/>
      <c r="F35" s="38"/>
      <c r="G35" s="38"/>
      <c r="H35" s="38"/>
      <c r="I35" s="60"/>
      <c r="J35" s="38"/>
      <c r="K35" s="38"/>
      <c r="L35" s="38"/>
      <c r="M35" s="38"/>
      <c r="N35" s="38"/>
      <c r="O35" s="38"/>
      <c r="P35" s="8"/>
    </row>
    <row r="36" spans="4:16" ht="15" thickBot="1" x14ac:dyDescent="0.4">
      <c r="D36" s="7" t="s">
        <v>50</v>
      </c>
      <c r="E36" s="38">
        <v>5</v>
      </c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8"/>
    </row>
    <row r="37" spans="4:16" ht="15" thickBot="1" x14ac:dyDescent="0.4">
      <c r="D37" s="5" t="s">
        <v>51</v>
      </c>
      <c r="E37" s="11" t="s">
        <v>66</v>
      </c>
      <c r="F37" s="11" t="s">
        <v>69</v>
      </c>
      <c r="G37" s="11" t="s">
        <v>50</v>
      </c>
      <c r="H37" s="40" t="s">
        <v>44</v>
      </c>
      <c r="I37" s="11" t="s">
        <v>71</v>
      </c>
      <c r="J37" s="11" t="s">
        <v>64</v>
      </c>
      <c r="K37" s="11" t="s">
        <v>63</v>
      </c>
      <c r="L37" s="6" t="s">
        <v>100</v>
      </c>
      <c r="M37" s="38"/>
      <c r="N37" s="41" t="s">
        <v>101</v>
      </c>
      <c r="O37" s="42" t="s">
        <v>102</v>
      </c>
      <c r="P37" s="43" t="s">
        <v>102</v>
      </c>
    </row>
    <row r="38" spans="4:16" ht="15" thickTop="1" x14ac:dyDescent="0.35">
      <c r="D38" s="7">
        <v>0</v>
      </c>
      <c r="E38" s="38">
        <f>$K$7</f>
        <v>10</v>
      </c>
      <c r="F38" s="38">
        <f>E38+G38-D38</f>
        <v>15</v>
      </c>
      <c r="G38" s="38">
        <v>5</v>
      </c>
      <c r="H38" s="37">
        <f>$E$7*F38</f>
        <v>1050</v>
      </c>
      <c r="I38" s="38">
        <f>$E$6*IF(F38&gt;0,1,0)</f>
        <v>400</v>
      </c>
      <c r="J38" s="38">
        <f>D38*$E$9</f>
        <v>0</v>
      </c>
      <c r="K38" s="38">
        <v>0</v>
      </c>
      <c r="L38" s="8">
        <f>SUM(H38:K38)+$L$19</f>
        <v>2950</v>
      </c>
      <c r="M38" s="38"/>
      <c r="N38" s="7">
        <f>IF(F38&lt;=$E$4,1,0)</f>
        <v>1</v>
      </c>
      <c r="O38" s="38">
        <f>IF(G38&lt;=$E$8,1,0)</f>
        <v>1</v>
      </c>
      <c r="P38" s="8">
        <f>IF(D38&lt;=$E$8,1,0)</f>
        <v>1</v>
      </c>
    </row>
    <row r="39" spans="4:16" x14ac:dyDescent="0.35">
      <c r="D39" s="7">
        <v>5</v>
      </c>
      <c r="E39" s="38">
        <f t="shared" ref="E39:E42" si="15">$K$7</f>
        <v>10</v>
      </c>
      <c r="F39" s="38">
        <f t="shared" ref="F39:F42" si="16">E39+G39-D39</f>
        <v>10</v>
      </c>
      <c r="G39" s="38">
        <v>5</v>
      </c>
      <c r="H39" s="37">
        <f>$E$7*F39</f>
        <v>700</v>
      </c>
      <c r="I39" s="38">
        <f>$E$6*IF(F39&gt;0,1,0)</f>
        <v>400</v>
      </c>
      <c r="J39" s="38">
        <f>D39*$E$9</f>
        <v>50</v>
      </c>
      <c r="K39" s="38">
        <v>0</v>
      </c>
      <c r="L39" s="8">
        <f>SUM(H39:K39)+$L$19</f>
        <v>2650</v>
      </c>
      <c r="M39" s="38"/>
      <c r="N39" s="7">
        <f t="shared" ref="N39:N42" si="17">IF(F39&lt;=$E$4,1,0)</f>
        <v>1</v>
      </c>
      <c r="O39" s="38">
        <f t="shared" ref="O39:O42" si="18">IF(G39&lt;=$E$8,1,0)</f>
        <v>1</v>
      </c>
      <c r="P39" s="8">
        <f>IF(D39&lt;=$E$8,1,0)</f>
        <v>1</v>
      </c>
    </row>
    <row r="40" spans="4:16" x14ac:dyDescent="0.35">
      <c r="D40" s="7">
        <v>10</v>
      </c>
      <c r="E40" s="38">
        <f t="shared" si="15"/>
        <v>10</v>
      </c>
      <c r="F40" s="38">
        <f t="shared" si="16"/>
        <v>5</v>
      </c>
      <c r="G40" s="38">
        <v>5</v>
      </c>
      <c r="H40" s="37">
        <f t="shared" ref="H40:H42" si="19">$E$7*F40</f>
        <v>350</v>
      </c>
      <c r="I40" s="38">
        <f t="shared" ref="I40:I42" si="20">$E$6*IF(F40&gt;0,1,0)</f>
        <v>400</v>
      </c>
      <c r="J40" s="38">
        <f t="shared" ref="J40:J42" si="21">D40*$E$9</f>
        <v>100</v>
      </c>
      <c r="K40" s="38">
        <v>0</v>
      </c>
      <c r="L40" s="8">
        <f t="shared" ref="L40:L41" si="22">SUM(H40:K40)+$L$19</f>
        <v>2350</v>
      </c>
      <c r="M40" s="38"/>
      <c r="N40" s="7">
        <f t="shared" si="17"/>
        <v>1</v>
      </c>
      <c r="O40" s="38">
        <f t="shared" si="18"/>
        <v>1</v>
      </c>
      <c r="P40" s="8">
        <f>IF(D40&lt;=$E$8,1,0)</f>
        <v>1</v>
      </c>
    </row>
    <row r="41" spans="4:16" x14ac:dyDescent="0.35">
      <c r="D41" s="7">
        <v>15</v>
      </c>
      <c r="E41" s="38">
        <f t="shared" si="15"/>
        <v>10</v>
      </c>
      <c r="F41" s="38">
        <f t="shared" si="16"/>
        <v>0</v>
      </c>
      <c r="G41" s="38">
        <v>5</v>
      </c>
      <c r="H41" s="37">
        <f t="shared" si="19"/>
        <v>0</v>
      </c>
      <c r="I41" s="38">
        <f t="shared" si="20"/>
        <v>0</v>
      </c>
      <c r="J41" s="38">
        <f t="shared" si="21"/>
        <v>150</v>
      </c>
      <c r="K41" s="38">
        <v>0</v>
      </c>
      <c r="L41" s="8">
        <f t="shared" si="22"/>
        <v>1650</v>
      </c>
      <c r="M41" s="38"/>
      <c r="N41" s="7">
        <f t="shared" si="17"/>
        <v>1</v>
      </c>
      <c r="O41" s="38">
        <f t="shared" si="18"/>
        <v>1</v>
      </c>
      <c r="P41" s="8">
        <f>IF(D41&lt;=$E$8,1,0)</f>
        <v>1</v>
      </c>
    </row>
    <row r="42" spans="4:16" ht="15" thickBot="1" x14ac:dyDescent="0.4">
      <c r="D42" s="48">
        <v>20</v>
      </c>
      <c r="E42" s="49">
        <f t="shared" si="15"/>
        <v>10</v>
      </c>
      <c r="F42" s="49">
        <f t="shared" si="16"/>
        <v>-5</v>
      </c>
      <c r="G42" s="49">
        <v>5</v>
      </c>
      <c r="H42" s="50">
        <f t="shared" si="19"/>
        <v>-350</v>
      </c>
      <c r="I42" s="49">
        <f t="shared" si="20"/>
        <v>0</v>
      </c>
      <c r="J42" s="49">
        <f t="shared" si="21"/>
        <v>200</v>
      </c>
      <c r="K42" s="49">
        <v>0</v>
      </c>
      <c r="L42" s="51"/>
      <c r="M42" s="38"/>
      <c r="N42" s="9">
        <f t="shared" si="17"/>
        <v>1</v>
      </c>
      <c r="O42" s="21">
        <f t="shared" si="18"/>
        <v>1</v>
      </c>
      <c r="P42" s="10">
        <f>IF(D42&lt;=$E$8,1,0)</f>
        <v>1</v>
      </c>
    </row>
    <row r="43" spans="4:16" x14ac:dyDescent="0.35">
      <c r="D43" s="7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8"/>
    </row>
    <row r="44" spans="4:16" x14ac:dyDescent="0.35">
      <c r="D44" s="7" t="s">
        <v>75</v>
      </c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8"/>
    </row>
    <row r="45" spans="4:16" ht="15" thickBot="1" x14ac:dyDescent="0.4">
      <c r="D45" s="7" t="s">
        <v>50</v>
      </c>
      <c r="E45" s="38">
        <v>10</v>
      </c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8"/>
    </row>
    <row r="46" spans="4:16" ht="15" thickBot="1" x14ac:dyDescent="0.4">
      <c r="D46" s="5" t="s">
        <v>51</v>
      </c>
      <c r="E46" s="11" t="s">
        <v>66</v>
      </c>
      <c r="F46" s="11" t="s">
        <v>69</v>
      </c>
      <c r="G46" s="11" t="s">
        <v>50</v>
      </c>
      <c r="H46" s="40" t="s">
        <v>44</v>
      </c>
      <c r="I46" s="11" t="s">
        <v>71</v>
      </c>
      <c r="J46" s="11" t="s">
        <v>64</v>
      </c>
      <c r="K46" s="11" t="s">
        <v>63</v>
      </c>
      <c r="L46" s="6" t="s">
        <v>100</v>
      </c>
      <c r="M46" s="38"/>
      <c r="N46" s="41" t="s">
        <v>101</v>
      </c>
      <c r="O46" s="42" t="s">
        <v>102</v>
      </c>
      <c r="P46" s="43" t="s">
        <v>102</v>
      </c>
    </row>
    <row r="47" spans="4:16" ht="15" thickTop="1" x14ac:dyDescent="0.35">
      <c r="D47" s="7">
        <v>0</v>
      </c>
      <c r="E47" s="38">
        <f>$K$7</f>
        <v>10</v>
      </c>
      <c r="F47" s="38">
        <f>E47+G47-D47</f>
        <v>20</v>
      </c>
      <c r="G47" s="38">
        <v>10</v>
      </c>
      <c r="H47" s="37">
        <f>$E$7*F47</f>
        <v>1400</v>
      </c>
      <c r="I47" s="38">
        <f>$E$6*IF(F47&gt;0,1,0)</f>
        <v>400</v>
      </c>
      <c r="J47" s="38">
        <f>D47*$E$9</f>
        <v>0</v>
      </c>
      <c r="K47" s="38">
        <v>0</v>
      </c>
      <c r="L47" s="8">
        <f>SUM(H47:K47)+$L$20</f>
        <v>3000</v>
      </c>
      <c r="M47" s="38"/>
      <c r="N47" s="7">
        <f>IF(F47&lt;=$E$4,1,0)</f>
        <v>1</v>
      </c>
      <c r="O47" s="38">
        <f>IF(G47&lt;=$E$8,1,0)</f>
        <v>1</v>
      </c>
      <c r="P47" s="8">
        <f>IF(D47&lt;=$E$8,1,0)</f>
        <v>1</v>
      </c>
    </row>
    <row r="48" spans="4:16" x14ac:dyDescent="0.35">
      <c r="D48" s="7">
        <v>5</v>
      </c>
      <c r="E48" s="38">
        <f t="shared" ref="E48:E51" si="23">$K$7</f>
        <v>10</v>
      </c>
      <c r="F48" s="38">
        <f t="shared" ref="F48:F51" si="24">E48+G48-D48</f>
        <v>15</v>
      </c>
      <c r="G48" s="38">
        <v>10</v>
      </c>
      <c r="H48" s="37">
        <f t="shared" ref="H48:H51" si="25">$E$7*F48</f>
        <v>1050</v>
      </c>
      <c r="I48" s="38">
        <f t="shared" ref="I48:I51" si="26">$E$6*IF(F48&gt;0,1,0)</f>
        <v>400</v>
      </c>
      <c r="J48" s="38">
        <f t="shared" ref="J48:J51" si="27">D48*$E$9</f>
        <v>50</v>
      </c>
      <c r="K48" s="38">
        <v>0</v>
      </c>
      <c r="L48" s="8">
        <f t="shared" ref="L48:L51" si="28">SUM(H48:K48)+$L$20</f>
        <v>2700</v>
      </c>
      <c r="M48" s="38"/>
      <c r="N48" s="7">
        <f t="shared" ref="N48:N51" si="29">IF(F48&lt;=$E$4,1,0)</f>
        <v>1</v>
      </c>
      <c r="O48" s="38">
        <f t="shared" ref="O48:O51" si="30">IF(G48&lt;=$E$8,1,0)</f>
        <v>1</v>
      </c>
      <c r="P48" s="8">
        <f>IF(D48&lt;=$E$8,1,0)</f>
        <v>1</v>
      </c>
    </row>
    <row r="49" spans="4:16" x14ac:dyDescent="0.35">
      <c r="D49" s="7">
        <v>10</v>
      </c>
      <c r="E49" s="38">
        <f t="shared" si="23"/>
        <v>10</v>
      </c>
      <c r="F49" s="38">
        <f t="shared" si="24"/>
        <v>10</v>
      </c>
      <c r="G49" s="38">
        <v>10</v>
      </c>
      <c r="H49" s="37">
        <f t="shared" si="25"/>
        <v>700</v>
      </c>
      <c r="I49" s="38">
        <f t="shared" si="26"/>
        <v>400</v>
      </c>
      <c r="J49" s="38">
        <f t="shared" si="27"/>
        <v>100</v>
      </c>
      <c r="K49" s="38">
        <v>0</v>
      </c>
      <c r="L49" s="8">
        <f t="shared" si="28"/>
        <v>2400</v>
      </c>
      <c r="M49" s="38"/>
      <c r="N49" s="7">
        <f t="shared" si="29"/>
        <v>1</v>
      </c>
      <c r="O49" s="38">
        <f t="shared" si="30"/>
        <v>1</v>
      </c>
      <c r="P49" s="8">
        <f>IF(D49&lt;=$E$8,1,0)</f>
        <v>1</v>
      </c>
    </row>
    <row r="50" spans="4:16" x14ac:dyDescent="0.35">
      <c r="D50" s="7">
        <v>15</v>
      </c>
      <c r="E50" s="38">
        <f t="shared" si="23"/>
        <v>10</v>
      </c>
      <c r="F50" s="38">
        <f t="shared" si="24"/>
        <v>5</v>
      </c>
      <c r="G50" s="38">
        <v>10</v>
      </c>
      <c r="H50" s="37">
        <f t="shared" si="25"/>
        <v>350</v>
      </c>
      <c r="I50" s="38">
        <f t="shared" si="26"/>
        <v>400</v>
      </c>
      <c r="J50" s="38">
        <f t="shared" si="27"/>
        <v>150</v>
      </c>
      <c r="K50" s="38">
        <v>0</v>
      </c>
      <c r="L50" s="8">
        <f t="shared" si="28"/>
        <v>2100</v>
      </c>
      <c r="M50" s="38"/>
      <c r="N50" s="7">
        <f t="shared" si="29"/>
        <v>1</v>
      </c>
      <c r="O50" s="38">
        <f t="shared" si="30"/>
        <v>1</v>
      </c>
      <c r="P50" s="8">
        <f>IF(D50&lt;=$E$8,1,0)</f>
        <v>1</v>
      </c>
    </row>
    <row r="51" spans="4:16" ht="15" thickBot="1" x14ac:dyDescent="0.4">
      <c r="D51" s="9">
        <v>20</v>
      </c>
      <c r="E51" s="21">
        <f t="shared" si="23"/>
        <v>10</v>
      </c>
      <c r="F51" s="21">
        <f t="shared" si="24"/>
        <v>0</v>
      </c>
      <c r="G51" s="21">
        <v>10</v>
      </c>
      <c r="H51" s="39">
        <f t="shared" si="25"/>
        <v>0</v>
      </c>
      <c r="I51" s="21">
        <f t="shared" si="26"/>
        <v>0</v>
      </c>
      <c r="J51" s="21">
        <f t="shared" si="27"/>
        <v>200</v>
      </c>
      <c r="K51" s="21">
        <v>0</v>
      </c>
      <c r="L51" s="10">
        <f t="shared" si="28"/>
        <v>1400</v>
      </c>
      <c r="M51" s="38"/>
      <c r="N51" s="9">
        <f t="shared" si="29"/>
        <v>1</v>
      </c>
      <c r="O51" s="21">
        <f t="shared" si="30"/>
        <v>1</v>
      </c>
      <c r="P51" s="10">
        <f>IF(D51&lt;=$E$8,1,0)</f>
        <v>1</v>
      </c>
    </row>
    <row r="52" spans="4:16" x14ac:dyDescent="0.35">
      <c r="D52" s="7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8"/>
    </row>
    <row r="53" spans="4:16" x14ac:dyDescent="0.35">
      <c r="D53" s="7" t="s">
        <v>75</v>
      </c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8"/>
    </row>
    <row r="54" spans="4:16" ht="15" thickBot="1" x14ac:dyDescent="0.4">
      <c r="D54" s="7" t="s">
        <v>50</v>
      </c>
      <c r="E54" s="38">
        <v>15</v>
      </c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8"/>
    </row>
    <row r="55" spans="4:16" ht="15" thickBot="1" x14ac:dyDescent="0.4">
      <c r="D55" s="5" t="s">
        <v>51</v>
      </c>
      <c r="E55" s="11" t="s">
        <v>66</v>
      </c>
      <c r="F55" s="11" t="s">
        <v>69</v>
      </c>
      <c r="G55" s="11" t="s">
        <v>50</v>
      </c>
      <c r="H55" s="40" t="s">
        <v>44</v>
      </c>
      <c r="I55" s="11" t="s">
        <v>71</v>
      </c>
      <c r="J55" s="11" t="s">
        <v>64</v>
      </c>
      <c r="K55" s="11" t="s">
        <v>63</v>
      </c>
      <c r="L55" s="6" t="s">
        <v>100</v>
      </c>
      <c r="M55" s="38"/>
      <c r="N55" s="41" t="s">
        <v>101</v>
      </c>
      <c r="O55" s="42" t="s">
        <v>102</v>
      </c>
      <c r="P55" s="43" t="s">
        <v>102</v>
      </c>
    </row>
    <row r="56" spans="4:16" ht="15" thickTop="1" x14ac:dyDescent="0.35">
      <c r="D56" s="7">
        <v>0</v>
      </c>
      <c r="E56" s="38">
        <f>$K$7</f>
        <v>10</v>
      </c>
      <c r="F56" s="38">
        <f>E56+G56-D56</f>
        <v>25</v>
      </c>
      <c r="G56" s="38">
        <v>15</v>
      </c>
      <c r="H56" s="37">
        <f>$E$7*F56</f>
        <v>1750</v>
      </c>
      <c r="I56" s="38">
        <f>$E$6*IF(F56&gt;0,1,0)</f>
        <v>400</v>
      </c>
      <c r="J56" s="38">
        <f>D56*$E$9</f>
        <v>0</v>
      </c>
      <c r="K56" s="38">
        <v>0</v>
      </c>
      <c r="L56" s="8">
        <f>SUM(H56:K56)+$L$21</f>
        <v>3050</v>
      </c>
      <c r="M56" s="38"/>
      <c r="N56" s="7">
        <f>IF(F56&lt;=$E$4,1,0)</f>
        <v>1</v>
      </c>
      <c r="O56" s="38">
        <f>IF(G56&lt;=$E$8,1,0)</f>
        <v>1</v>
      </c>
      <c r="P56" s="8">
        <f>IF(D56&lt;=$E$8,1,0)</f>
        <v>1</v>
      </c>
    </row>
    <row r="57" spans="4:16" x14ac:dyDescent="0.35">
      <c r="D57" s="7">
        <v>5</v>
      </c>
      <c r="E57" s="38">
        <f t="shared" ref="E57:E60" si="31">$K$7</f>
        <v>10</v>
      </c>
      <c r="F57" s="38">
        <f t="shared" ref="F57:F60" si="32">E57+G57-D57</f>
        <v>20</v>
      </c>
      <c r="G57" s="38">
        <v>15</v>
      </c>
      <c r="H57" s="37">
        <f t="shared" ref="H57:H60" si="33">$E$7*F57</f>
        <v>1400</v>
      </c>
      <c r="I57" s="38">
        <f t="shared" ref="I57:I60" si="34">$E$6*IF(F57&gt;0,1,0)</f>
        <v>400</v>
      </c>
      <c r="J57" s="38">
        <f t="shared" ref="J57:J60" si="35">D57*$E$9</f>
        <v>50</v>
      </c>
      <c r="K57" s="38">
        <v>0</v>
      </c>
      <c r="L57" s="8">
        <f t="shared" ref="L57:L60" si="36">SUM(H57:K57)+$L$21</f>
        <v>2750</v>
      </c>
      <c r="M57" s="38"/>
      <c r="N57" s="7">
        <f t="shared" ref="N57:N60" si="37">IF(F57&lt;=$E$4,1,0)</f>
        <v>1</v>
      </c>
      <c r="O57" s="38">
        <f t="shared" ref="O57:O60" si="38">IF(G57&lt;=$E$8,1,0)</f>
        <v>1</v>
      </c>
      <c r="P57" s="8">
        <f>IF(D57&lt;=$E$8,1,0)</f>
        <v>1</v>
      </c>
    </row>
    <row r="58" spans="4:16" x14ac:dyDescent="0.35">
      <c r="D58" s="7">
        <v>10</v>
      </c>
      <c r="E58" s="38">
        <f t="shared" si="31"/>
        <v>10</v>
      </c>
      <c r="F58" s="38">
        <f t="shared" si="32"/>
        <v>15</v>
      </c>
      <c r="G58" s="38">
        <v>15</v>
      </c>
      <c r="H58" s="37">
        <f t="shared" si="33"/>
        <v>1050</v>
      </c>
      <c r="I58" s="38">
        <f t="shared" si="34"/>
        <v>400</v>
      </c>
      <c r="J58" s="38">
        <f t="shared" si="35"/>
        <v>100</v>
      </c>
      <c r="K58" s="38">
        <v>0</v>
      </c>
      <c r="L58" s="8">
        <f t="shared" si="36"/>
        <v>2450</v>
      </c>
      <c r="M58" s="38"/>
      <c r="N58" s="7">
        <f t="shared" si="37"/>
        <v>1</v>
      </c>
      <c r="O58" s="38">
        <f>IF(G58&lt;=$E$8,1,0)</f>
        <v>1</v>
      </c>
      <c r="P58" s="8">
        <f>IF(D58&lt;=$E$8,1,0)</f>
        <v>1</v>
      </c>
    </row>
    <row r="59" spans="4:16" x14ac:dyDescent="0.35">
      <c r="D59" s="7">
        <v>15</v>
      </c>
      <c r="E59" s="38">
        <f t="shared" si="31"/>
        <v>10</v>
      </c>
      <c r="F59" s="38">
        <f t="shared" si="32"/>
        <v>10</v>
      </c>
      <c r="G59" s="38">
        <v>15</v>
      </c>
      <c r="H59" s="37">
        <f t="shared" si="33"/>
        <v>700</v>
      </c>
      <c r="I59" s="38">
        <f t="shared" si="34"/>
        <v>400</v>
      </c>
      <c r="J59" s="38">
        <f t="shared" si="35"/>
        <v>150</v>
      </c>
      <c r="K59" s="38">
        <v>0</v>
      </c>
      <c r="L59" s="8">
        <f t="shared" si="36"/>
        <v>2150</v>
      </c>
      <c r="M59" s="38"/>
      <c r="N59" s="7">
        <f t="shared" si="37"/>
        <v>1</v>
      </c>
      <c r="O59" s="38">
        <f t="shared" si="38"/>
        <v>1</v>
      </c>
      <c r="P59" s="8">
        <f>IF(D59&lt;=$E$8,1,0)</f>
        <v>1</v>
      </c>
    </row>
    <row r="60" spans="4:16" ht="15" thickBot="1" x14ac:dyDescent="0.4">
      <c r="D60" s="9">
        <v>20</v>
      </c>
      <c r="E60" s="21">
        <f t="shared" si="31"/>
        <v>10</v>
      </c>
      <c r="F60" s="21">
        <f t="shared" si="32"/>
        <v>5</v>
      </c>
      <c r="G60" s="21">
        <v>15</v>
      </c>
      <c r="H60" s="39">
        <f t="shared" si="33"/>
        <v>350</v>
      </c>
      <c r="I60" s="21">
        <f t="shared" si="34"/>
        <v>400</v>
      </c>
      <c r="J60" s="21">
        <f t="shared" si="35"/>
        <v>200</v>
      </c>
      <c r="K60" s="21">
        <v>0</v>
      </c>
      <c r="L60" s="10">
        <f t="shared" si="36"/>
        <v>1850</v>
      </c>
      <c r="M60" s="38"/>
      <c r="N60" s="9">
        <f t="shared" si="37"/>
        <v>1</v>
      </c>
      <c r="O60" s="21">
        <f t="shared" si="38"/>
        <v>1</v>
      </c>
      <c r="P60" s="10">
        <f>IF(D60&lt;=$E$8,1,0)</f>
        <v>1</v>
      </c>
    </row>
    <row r="61" spans="4:16" x14ac:dyDescent="0.35">
      <c r="D61" s="7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8"/>
    </row>
    <row r="62" spans="4:16" x14ac:dyDescent="0.35">
      <c r="D62" s="7" t="s">
        <v>76</v>
      </c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8"/>
    </row>
    <row r="63" spans="4:16" ht="15" thickBot="1" x14ac:dyDescent="0.4">
      <c r="D63" s="7" t="s">
        <v>50</v>
      </c>
      <c r="E63" s="38">
        <v>20</v>
      </c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8"/>
    </row>
    <row r="64" spans="4:16" ht="15" thickBot="1" x14ac:dyDescent="0.4">
      <c r="D64" s="5" t="s">
        <v>51</v>
      </c>
      <c r="E64" s="11" t="s">
        <v>66</v>
      </c>
      <c r="F64" s="11" t="s">
        <v>69</v>
      </c>
      <c r="G64" s="11" t="s">
        <v>50</v>
      </c>
      <c r="H64" s="40" t="s">
        <v>44</v>
      </c>
      <c r="I64" s="11" t="s">
        <v>71</v>
      </c>
      <c r="J64" s="11" t="s">
        <v>64</v>
      </c>
      <c r="K64" s="11" t="s">
        <v>63</v>
      </c>
      <c r="L64" s="6" t="s">
        <v>100</v>
      </c>
      <c r="M64" s="38"/>
      <c r="N64" s="41" t="s">
        <v>101</v>
      </c>
      <c r="O64" s="42" t="s">
        <v>102</v>
      </c>
      <c r="P64" s="43" t="s">
        <v>102</v>
      </c>
    </row>
    <row r="65" spans="4:16" ht="15" thickTop="1" x14ac:dyDescent="0.35">
      <c r="D65" s="7">
        <v>0</v>
      </c>
      <c r="E65" s="38">
        <f>$K$7</f>
        <v>10</v>
      </c>
      <c r="F65" s="74">
        <f>E65+G65-D65</f>
        <v>30</v>
      </c>
      <c r="G65" s="38">
        <v>20</v>
      </c>
      <c r="H65" s="37">
        <f>$E$7*F65</f>
        <v>2100</v>
      </c>
      <c r="I65" s="38">
        <f>$E$6*IF(F65&gt;0,1,0)</f>
        <v>400</v>
      </c>
      <c r="J65" s="38">
        <f>D65*$E$9</f>
        <v>0</v>
      </c>
      <c r="K65" s="38">
        <v>0</v>
      </c>
      <c r="L65" s="36">
        <f>SUM(H65:K65)+$L$22</f>
        <v>2700</v>
      </c>
      <c r="M65" s="38"/>
      <c r="N65" s="7">
        <f>IF(F65&lt;=$E$4,1,0)</f>
        <v>1</v>
      </c>
      <c r="O65" s="38">
        <f>IF(G65&lt;=$E$8,1,0)</f>
        <v>1</v>
      </c>
      <c r="P65" s="8">
        <f>IF(D65&lt;=$E$8,1,0)</f>
        <v>1</v>
      </c>
    </row>
    <row r="66" spans="4:16" x14ac:dyDescent="0.35">
      <c r="D66" s="7">
        <v>5</v>
      </c>
      <c r="E66" s="38">
        <f t="shared" ref="E66:E69" si="39">$K$7</f>
        <v>10</v>
      </c>
      <c r="F66" s="38">
        <f t="shared" ref="F66:F69" si="40">E66+G66-D66</f>
        <v>25</v>
      </c>
      <c r="G66" s="38">
        <v>20</v>
      </c>
      <c r="H66" s="37">
        <f t="shared" ref="H66:H69" si="41">$E$7*F66</f>
        <v>1750</v>
      </c>
      <c r="I66" s="38">
        <f t="shared" ref="I66:I69" si="42">$E$6*IF(F66&gt;0,1,0)</f>
        <v>400</v>
      </c>
      <c r="J66" s="38">
        <f t="shared" ref="J66:J69" si="43">D66*$E$9</f>
        <v>50</v>
      </c>
      <c r="K66" s="38">
        <v>0</v>
      </c>
      <c r="L66" s="8">
        <f t="shared" ref="L66:L69" si="44">SUM(H66:K66)+$L$22</f>
        <v>2400</v>
      </c>
      <c r="M66" s="38"/>
      <c r="N66" s="7">
        <f t="shared" ref="N66:N69" si="45">IF(F66&lt;=$E$4,1,0)</f>
        <v>1</v>
      </c>
      <c r="O66" s="38">
        <f t="shared" ref="O66" si="46">IF(G66&lt;=$E$8,1,0)</f>
        <v>1</v>
      </c>
      <c r="P66" s="8">
        <f>IF(D66&lt;=$E$8,1,0)</f>
        <v>1</v>
      </c>
    </row>
    <row r="67" spans="4:16" x14ac:dyDescent="0.35">
      <c r="D67" s="7">
        <v>10</v>
      </c>
      <c r="E67" s="38">
        <f t="shared" si="39"/>
        <v>10</v>
      </c>
      <c r="F67" s="38">
        <f t="shared" si="40"/>
        <v>20</v>
      </c>
      <c r="G67" s="38">
        <v>20</v>
      </c>
      <c r="H67" s="37">
        <f t="shared" si="41"/>
        <v>1400</v>
      </c>
      <c r="I67" s="38">
        <f t="shared" si="42"/>
        <v>400</v>
      </c>
      <c r="J67" s="38">
        <f t="shared" si="43"/>
        <v>100</v>
      </c>
      <c r="K67" s="38">
        <v>0</v>
      </c>
      <c r="L67" s="8">
        <f t="shared" si="44"/>
        <v>2100</v>
      </c>
      <c r="M67" s="38"/>
      <c r="N67" s="7">
        <f t="shared" si="45"/>
        <v>1</v>
      </c>
      <c r="O67" s="38">
        <f>IF(G67&lt;=$E$8,1,0)</f>
        <v>1</v>
      </c>
      <c r="P67" s="8">
        <f>IF(D67&lt;=$E$8,1,0)</f>
        <v>1</v>
      </c>
    </row>
    <row r="68" spans="4:16" x14ac:dyDescent="0.35">
      <c r="D68" s="7">
        <v>15</v>
      </c>
      <c r="E68" s="38">
        <f t="shared" si="39"/>
        <v>10</v>
      </c>
      <c r="F68" s="38">
        <f t="shared" si="40"/>
        <v>15</v>
      </c>
      <c r="G68" s="38">
        <v>20</v>
      </c>
      <c r="H68" s="37">
        <f t="shared" si="41"/>
        <v>1050</v>
      </c>
      <c r="I68" s="38">
        <f t="shared" si="42"/>
        <v>400</v>
      </c>
      <c r="J68" s="38">
        <f t="shared" si="43"/>
        <v>150</v>
      </c>
      <c r="K68" s="38">
        <v>0</v>
      </c>
      <c r="L68" s="8">
        <f t="shared" si="44"/>
        <v>1800</v>
      </c>
      <c r="M68" s="38"/>
      <c r="N68" s="7">
        <f t="shared" si="45"/>
        <v>1</v>
      </c>
      <c r="O68" s="38">
        <f t="shared" ref="O68:O69" si="47">IF(G68&lt;=$E$8,1,0)</f>
        <v>1</v>
      </c>
      <c r="P68" s="8">
        <f>IF(D68&lt;=$E$8,1,0)</f>
        <v>1</v>
      </c>
    </row>
    <row r="69" spans="4:16" ht="15" thickBot="1" x14ac:dyDescent="0.4">
      <c r="D69" s="9">
        <v>20</v>
      </c>
      <c r="E69" s="21">
        <f t="shared" si="39"/>
        <v>10</v>
      </c>
      <c r="F69" s="21">
        <f t="shared" si="40"/>
        <v>10</v>
      </c>
      <c r="G69" s="21">
        <v>20</v>
      </c>
      <c r="H69" s="39">
        <f t="shared" si="41"/>
        <v>700</v>
      </c>
      <c r="I69" s="21">
        <f t="shared" si="42"/>
        <v>400</v>
      </c>
      <c r="J69" s="21">
        <f t="shared" si="43"/>
        <v>200</v>
      </c>
      <c r="K69" s="21">
        <v>0</v>
      </c>
      <c r="L69" s="10">
        <f t="shared" si="44"/>
        <v>1500</v>
      </c>
      <c r="M69" s="38"/>
      <c r="N69" s="9">
        <f t="shared" si="45"/>
        <v>1</v>
      </c>
      <c r="O69" s="21">
        <f t="shared" si="47"/>
        <v>1</v>
      </c>
      <c r="P69" s="10">
        <f>IF(D69&lt;=$E$8,1,0)</f>
        <v>1</v>
      </c>
    </row>
    <row r="70" spans="4:16" ht="15" thickBot="1" x14ac:dyDescent="0.4">
      <c r="D70" s="7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8"/>
    </row>
    <row r="71" spans="4:16" ht="15" thickBot="1" x14ac:dyDescent="0.4">
      <c r="D71" s="26" t="s">
        <v>105</v>
      </c>
      <c r="E71" s="24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8"/>
    </row>
    <row r="72" spans="4:16" ht="15" thickBot="1" x14ac:dyDescent="0.4">
      <c r="D72" s="5" t="s">
        <v>50</v>
      </c>
      <c r="E72" s="6" t="s">
        <v>106</v>
      </c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8"/>
    </row>
    <row r="73" spans="4:16" ht="15" thickTop="1" x14ac:dyDescent="0.35">
      <c r="D73" s="77">
        <v>0</v>
      </c>
      <c r="E73" s="36">
        <f>MIN(L29,L38,L47,L56,L65)</f>
        <v>2700</v>
      </c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8"/>
    </row>
    <row r="74" spans="4:16" x14ac:dyDescent="0.35">
      <c r="D74" s="7">
        <v>5</v>
      </c>
      <c r="E74" s="8">
        <f t="shared" ref="E74:E77" si="48">MIN(L30,L39,L48,L57,L66)</f>
        <v>2400</v>
      </c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8"/>
    </row>
    <row r="75" spans="4:16" x14ac:dyDescent="0.35">
      <c r="D75" s="84">
        <v>10</v>
      </c>
      <c r="E75" s="85">
        <f>MIN(L31,L40,L49,L58,L67)</f>
        <v>1900</v>
      </c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8"/>
    </row>
    <row r="76" spans="4:16" x14ac:dyDescent="0.35">
      <c r="D76" s="7">
        <v>15</v>
      </c>
      <c r="E76" s="8">
        <f t="shared" si="48"/>
        <v>1650</v>
      </c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8"/>
    </row>
    <row r="77" spans="4:16" ht="15" thickBot="1" x14ac:dyDescent="0.4">
      <c r="D77" s="9">
        <v>20</v>
      </c>
      <c r="E77" s="10">
        <f t="shared" si="48"/>
        <v>1400</v>
      </c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10"/>
    </row>
    <row r="79" spans="4:16" ht="15" thickBot="1" x14ac:dyDescent="0.4"/>
    <row r="80" spans="4:16" x14ac:dyDescent="0.35">
      <c r="D80" s="26" t="s">
        <v>10</v>
      </c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24"/>
    </row>
    <row r="81" spans="3:16" x14ac:dyDescent="0.35">
      <c r="D81" s="7" t="s">
        <v>73</v>
      </c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8"/>
    </row>
    <row r="82" spans="3:16" ht="15" thickBot="1" x14ac:dyDescent="0.4">
      <c r="D82" s="7" t="s">
        <v>50</v>
      </c>
      <c r="E82" s="38">
        <v>0</v>
      </c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8"/>
    </row>
    <row r="83" spans="3:16" ht="15" thickBot="1" x14ac:dyDescent="0.4">
      <c r="D83" s="5" t="s">
        <v>51</v>
      </c>
      <c r="E83" s="11" t="s">
        <v>66</v>
      </c>
      <c r="F83" s="11" t="s">
        <v>69</v>
      </c>
      <c r="G83" s="11" t="s">
        <v>50</v>
      </c>
      <c r="H83" s="40" t="s">
        <v>44</v>
      </c>
      <c r="I83" s="11" t="s">
        <v>71</v>
      </c>
      <c r="J83" s="11" t="s">
        <v>64</v>
      </c>
      <c r="K83" s="11" t="s">
        <v>63</v>
      </c>
      <c r="L83" s="6" t="s">
        <v>100</v>
      </c>
      <c r="M83" s="38"/>
      <c r="N83" s="41" t="s">
        <v>101</v>
      </c>
      <c r="O83" s="42" t="s">
        <v>102</v>
      </c>
      <c r="P83" s="43" t="s">
        <v>102</v>
      </c>
    </row>
    <row r="84" spans="3:16" ht="15" thickTop="1" x14ac:dyDescent="0.35">
      <c r="D84" s="44">
        <v>0</v>
      </c>
      <c r="E84" s="45">
        <f>$K$6</f>
        <v>50</v>
      </c>
      <c r="F84" s="45">
        <f>E84+G84-D84</f>
        <v>50</v>
      </c>
      <c r="G84" s="45">
        <v>0</v>
      </c>
      <c r="H84" s="46">
        <f>$E$7*F84</f>
        <v>3500</v>
      </c>
      <c r="I84" s="45">
        <f>$E$6*IF(F84&gt;0,1,0)</f>
        <v>400</v>
      </c>
      <c r="J84" s="45">
        <f>D84*$E$9</f>
        <v>0</v>
      </c>
      <c r="K84" s="45">
        <v>0</v>
      </c>
      <c r="L84" s="47"/>
      <c r="M84" s="45"/>
      <c r="N84" s="44">
        <f>IF(F84&lt;=$E$4,1,0)</f>
        <v>0</v>
      </c>
      <c r="O84" s="45">
        <f>IF(G84&lt;=$E$8,1,0)</f>
        <v>1</v>
      </c>
      <c r="P84" s="47">
        <f>IF(D84&lt;=$E$8,1,0)</f>
        <v>1</v>
      </c>
    </row>
    <row r="85" spans="3:16" x14ac:dyDescent="0.35">
      <c r="D85" s="44">
        <v>5</v>
      </c>
      <c r="E85" s="45">
        <f t="shared" ref="E85:E88" si="49">$K$6</f>
        <v>50</v>
      </c>
      <c r="F85" s="45">
        <f t="shared" ref="F85:F86" si="50">E85+G85-D85</f>
        <v>45</v>
      </c>
      <c r="G85" s="45">
        <v>0</v>
      </c>
      <c r="H85" s="46">
        <f t="shared" ref="H85:H86" si="51">$E$7*F85</f>
        <v>3150</v>
      </c>
      <c r="I85" s="45">
        <f t="shared" ref="I85:I86" si="52">$E$6*IF(F85&gt;0,1,0)</f>
        <v>400</v>
      </c>
      <c r="J85" s="45">
        <f t="shared" ref="J85:J88" si="53">D85*$E$9</f>
        <v>50</v>
      </c>
      <c r="K85" s="45">
        <v>0</v>
      </c>
      <c r="L85" s="47"/>
      <c r="M85" s="45"/>
      <c r="N85" s="44">
        <f t="shared" ref="N85:N88" si="54">IF(F85&lt;=$E$4,1,0)</f>
        <v>0</v>
      </c>
      <c r="O85" s="45">
        <f t="shared" ref="O85:O88" si="55">IF(G85&lt;=$E$8,1,0)</f>
        <v>1</v>
      </c>
      <c r="P85" s="47">
        <f>IF(D85&lt;=$E$8,1,0)</f>
        <v>1</v>
      </c>
    </row>
    <row r="86" spans="3:16" x14ac:dyDescent="0.35">
      <c r="D86" s="7">
        <v>10</v>
      </c>
      <c r="E86" s="38">
        <f t="shared" si="49"/>
        <v>50</v>
      </c>
      <c r="F86" s="74">
        <f t="shared" si="50"/>
        <v>40</v>
      </c>
      <c r="G86" s="38">
        <v>0</v>
      </c>
      <c r="H86" s="37">
        <f t="shared" si="51"/>
        <v>2800</v>
      </c>
      <c r="I86" s="38">
        <f t="shared" si="52"/>
        <v>400</v>
      </c>
      <c r="J86" s="38">
        <f t="shared" si="53"/>
        <v>100</v>
      </c>
      <c r="K86" s="38">
        <v>0</v>
      </c>
      <c r="L86" s="36">
        <f>SUM(H86:K86)+$E$73</f>
        <v>6000</v>
      </c>
      <c r="M86" s="38"/>
      <c r="N86" s="7">
        <f t="shared" si="54"/>
        <v>1</v>
      </c>
      <c r="O86" s="38">
        <f t="shared" si="55"/>
        <v>1</v>
      </c>
      <c r="P86" s="8">
        <f>IF(D86&lt;=$E$8,1,0)</f>
        <v>1</v>
      </c>
    </row>
    <row r="87" spans="3:16" x14ac:dyDescent="0.35">
      <c r="C87" s="61"/>
      <c r="D87" s="53">
        <v>15</v>
      </c>
      <c r="E87" s="54">
        <f t="shared" si="49"/>
        <v>50</v>
      </c>
      <c r="F87" s="54">
        <f t="shared" ref="F87:F88" si="56">E87+G87-D87</f>
        <v>35</v>
      </c>
      <c r="G87" s="54">
        <v>0</v>
      </c>
      <c r="H87" s="62">
        <f t="shared" ref="H87:H88" si="57">$E$7*F87</f>
        <v>2450</v>
      </c>
      <c r="I87" s="54">
        <f t="shared" ref="I87:I88" si="58">$E$6*IF(F87&gt;0,1,0)</f>
        <v>400</v>
      </c>
      <c r="J87" s="54">
        <f t="shared" ref="J87:J88" si="59">D87*$E$9</f>
        <v>150</v>
      </c>
      <c r="K87" s="54">
        <v>0</v>
      </c>
      <c r="L87" s="55">
        <f t="shared" ref="L87:L88" si="60">SUM(H87:K87)+$E$73</f>
        <v>5700</v>
      </c>
      <c r="M87" s="54"/>
      <c r="N87" s="53">
        <f t="shared" si="54"/>
        <v>1</v>
      </c>
      <c r="O87" s="54">
        <f t="shared" si="55"/>
        <v>1</v>
      </c>
      <c r="P87" s="55">
        <f>IF(D87&lt;=$E$8,1,0)</f>
        <v>1</v>
      </c>
    </row>
    <row r="88" spans="3:16" ht="15" thickBot="1" x14ac:dyDescent="0.4">
      <c r="C88" s="61"/>
      <c r="D88" s="56">
        <v>20</v>
      </c>
      <c r="E88" s="57">
        <f t="shared" si="49"/>
        <v>50</v>
      </c>
      <c r="F88" s="57">
        <f t="shared" si="56"/>
        <v>30</v>
      </c>
      <c r="G88" s="57">
        <v>0</v>
      </c>
      <c r="H88" s="59">
        <f t="shared" si="57"/>
        <v>2100</v>
      </c>
      <c r="I88" s="57">
        <f t="shared" si="58"/>
        <v>400</v>
      </c>
      <c r="J88" s="57">
        <f t="shared" si="59"/>
        <v>200</v>
      </c>
      <c r="K88" s="57">
        <v>0</v>
      </c>
      <c r="L88" s="58">
        <f t="shared" si="60"/>
        <v>5400</v>
      </c>
      <c r="M88" s="54"/>
      <c r="N88" s="56">
        <f t="shared" si="54"/>
        <v>1</v>
      </c>
      <c r="O88" s="57">
        <f t="shared" si="55"/>
        <v>1</v>
      </c>
      <c r="P88" s="58">
        <f>IF(D88&lt;=$E$8,1,0)</f>
        <v>1</v>
      </c>
    </row>
    <row r="89" spans="3:16" x14ac:dyDescent="0.35">
      <c r="C89" s="61"/>
      <c r="D89" s="53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5"/>
    </row>
    <row r="90" spans="3:16" x14ac:dyDescent="0.35">
      <c r="C90" s="61"/>
      <c r="D90" s="53" t="s">
        <v>74</v>
      </c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5"/>
    </row>
    <row r="91" spans="3:16" ht="15" thickBot="1" x14ac:dyDescent="0.4">
      <c r="C91" s="61"/>
      <c r="D91" s="53" t="s">
        <v>50</v>
      </c>
      <c r="E91" s="54">
        <v>5</v>
      </c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5"/>
    </row>
    <row r="92" spans="3:16" ht="15" thickBot="1" x14ac:dyDescent="0.4">
      <c r="C92" s="61"/>
      <c r="D92" s="63" t="s">
        <v>51</v>
      </c>
      <c r="E92" s="64" t="s">
        <v>66</v>
      </c>
      <c r="F92" s="64" t="s">
        <v>69</v>
      </c>
      <c r="G92" s="64" t="s">
        <v>50</v>
      </c>
      <c r="H92" s="65" t="s">
        <v>44</v>
      </c>
      <c r="I92" s="64" t="s">
        <v>71</v>
      </c>
      <c r="J92" s="64" t="s">
        <v>64</v>
      </c>
      <c r="K92" s="64" t="s">
        <v>63</v>
      </c>
      <c r="L92" s="66" t="s">
        <v>100</v>
      </c>
      <c r="M92" s="54"/>
      <c r="N92" s="67" t="s">
        <v>101</v>
      </c>
      <c r="O92" s="68" t="s">
        <v>102</v>
      </c>
      <c r="P92" s="69" t="s">
        <v>102</v>
      </c>
    </row>
    <row r="93" spans="3:16" ht="15" thickTop="1" x14ac:dyDescent="0.35">
      <c r="C93" s="61"/>
      <c r="D93" s="44">
        <v>0</v>
      </c>
      <c r="E93" s="45">
        <f>$K$6</f>
        <v>50</v>
      </c>
      <c r="F93" s="45">
        <f>E93+G93-D93</f>
        <v>55</v>
      </c>
      <c r="G93" s="45">
        <v>5</v>
      </c>
      <c r="H93" s="46">
        <f>$E$7*F93</f>
        <v>3850</v>
      </c>
      <c r="I93" s="45">
        <f>$E$6*IF(F93&gt;0,1,0)</f>
        <v>400</v>
      </c>
      <c r="J93" s="45">
        <f>D93*$E$9</f>
        <v>0</v>
      </c>
      <c r="K93" s="45">
        <v>0</v>
      </c>
      <c r="L93" s="47"/>
      <c r="M93" s="45"/>
      <c r="N93" s="44">
        <f>IF(F93&lt;=$E$4,1,0)</f>
        <v>0</v>
      </c>
      <c r="O93" s="45">
        <f>IF(G93&lt;=$E$8,1,0)</f>
        <v>1</v>
      </c>
      <c r="P93" s="47">
        <f>IF(D93&lt;=$E$8,1,0)</f>
        <v>1</v>
      </c>
    </row>
    <row r="94" spans="3:16" x14ac:dyDescent="0.35">
      <c r="C94" s="61"/>
      <c r="D94" s="44">
        <v>5</v>
      </c>
      <c r="E94" s="45">
        <f t="shared" ref="E94:E97" si="61">$K$6</f>
        <v>50</v>
      </c>
      <c r="F94" s="45">
        <f t="shared" ref="F94:F97" si="62">E94+G94-D94</f>
        <v>50</v>
      </c>
      <c r="G94" s="45">
        <v>5</v>
      </c>
      <c r="H94" s="46">
        <f t="shared" ref="H94:H97" si="63">$E$7*F94</f>
        <v>3500</v>
      </c>
      <c r="I94" s="45">
        <f t="shared" ref="I94:I97" si="64">$E$6*IF(F94&gt;0,1,0)</f>
        <v>400</v>
      </c>
      <c r="J94" s="45">
        <f t="shared" ref="J94:J97" si="65">D94*$E$9</f>
        <v>50</v>
      </c>
      <c r="K94" s="45">
        <v>0</v>
      </c>
      <c r="L94" s="47"/>
      <c r="M94" s="45"/>
      <c r="N94" s="44">
        <f t="shared" ref="N94:N97" si="66">IF(F94&lt;=$E$4,1,0)</f>
        <v>0</v>
      </c>
      <c r="O94" s="45">
        <f t="shared" ref="O94:O97" si="67">IF(G94&lt;=$E$8,1,0)</f>
        <v>1</v>
      </c>
      <c r="P94" s="47">
        <f>IF(D94&lt;=$E$8,1,0)</f>
        <v>1</v>
      </c>
    </row>
    <row r="95" spans="3:16" x14ac:dyDescent="0.35">
      <c r="C95" s="61"/>
      <c r="D95" s="44">
        <v>10</v>
      </c>
      <c r="E95" s="45">
        <f t="shared" si="61"/>
        <v>50</v>
      </c>
      <c r="F95" s="45">
        <f t="shared" si="62"/>
        <v>45</v>
      </c>
      <c r="G95" s="45">
        <v>5</v>
      </c>
      <c r="H95" s="46">
        <f t="shared" si="63"/>
        <v>3150</v>
      </c>
      <c r="I95" s="45">
        <f t="shared" si="64"/>
        <v>400</v>
      </c>
      <c r="J95" s="45">
        <f t="shared" si="65"/>
        <v>100</v>
      </c>
      <c r="K95" s="45">
        <v>0</v>
      </c>
      <c r="L95" s="47"/>
      <c r="M95" s="45"/>
      <c r="N95" s="44">
        <f t="shared" si="66"/>
        <v>0</v>
      </c>
      <c r="O95" s="45">
        <f t="shared" si="67"/>
        <v>1</v>
      </c>
      <c r="P95" s="47">
        <f>IF(D95&lt;=$E$8,1,0)</f>
        <v>1</v>
      </c>
    </row>
    <row r="96" spans="3:16" x14ac:dyDescent="0.35">
      <c r="C96" s="61"/>
      <c r="D96" s="53">
        <v>15</v>
      </c>
      <c r="E96" s="54">
        <f t="shared" si="61"/>
        <v>50</v>
      </c>
      <c r="F96" s="54">
        <f t="shared" si="62"/>
        <v>40</v>
      </c>
      <c r="G96" s="54">
        <v>5</v>
      </c>
      <c r="H96" s="62">
        <f t="shared" si="63"/>
        <v>2800</v>
      </c>
      <c r="I96" s="54">
        <f t="shared" si="64"/>
        <v>400</v>
      </c>
      <c r="J96" s="54">
        <f t="shared" si="65"/>
        <v>150</v>
      </c>
      <c r="K96" s="54">
        <v>0</v>
      </c>
      <c r="L96" s="55">
        <f>SUM(H96:K96)+$E$74</f>
        <v>5750</v>
      </c>
      <c r="M96" s="54"/>
      <c r="N96" s="53">
        <f t="shared" si="66"/>
        <v>1</v>
      </c>
      <c r="O96" s="54">
        <f t="shared" si="67"/>
        <v>1</v>
      </c>
      <c r="P96" s="55">
        <f>IF(D96&lt;=$E$8,1,0)</f>
        <v>1</v>
      </c>
    </row>
    <row r="97" spans="3:16" ht="15" thickBot="1" x14ac:dyDescent="0.4">
      <c r="C97" s="61"/>
      <c r="D97" s="56">
        <v>20</v>
      </c>
      <c r="E97" s="57">
        <f t="shared" si="61"/>
        <v>50</v>
      </c>
      <c r="F97" s="57">
        <f t="shared" si="62"/>
        <v>35</v>
      </c>
      <c r="G97" s="57">
        <v>5</v>
      </c>
      <c r="H97" s="59">
        <f t="shared" si="63"/>
        <v>2450</v>
      </c>
      <c r="I97" s="57">
        <f t="shared" si="64"/>
        <v>400</v>
      </c>
      <c r="J97" s="57">
        <f t="shared" si="65"/>
        <v>200</v>
      </c>
      <c r="K97" s="57">
        <v>0</v>
      </c>
      <c r="L97" s="58">
        <f>SUM(H97:K97)+$E$74</f>
        <v>5450</v>
      </c>
      <c r="M97" s="54"/>
      <c r="N97" s="56">
        <f t="shared" si="66"/>
        <v>1</v>
      </c>
      <c r="O97" s="57">
        <f t="shared" si="67"/>
        <v>1</v>
      </c>
      <c r="P97" s="58">
        <f>IF(D97&lt;=$E$8,1,0)</f>
        <v>1</v>
      </c>
    </row>
    <row r="98" spans="3:16" x14ac:dyDescent="0.35">
      <c r="C98" s="61"/>
      <c r="D98" s="53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5"/>
    </row>
    <row r="99" spans="3:16" x14ac:dyDescent="0.35">
      <c r="C99" s="61"/>
      <c r="D99" s="53" t="s">
        <v>75</v>
      </c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5"/>
    </row>
    <row r="100" spans="3:16" ht="15" thickBot="1" x14ac:dyDescent="0.4">
      <c r="C100" s="61"/>
      <c r="D100" s="53" t="s">
        <v>50</v>
      </c>
      <c r="E100" s="54">
        <v>10</v>
      </c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5"/>
    </row>
    <row r="101" spans="3:16" ht="15" thickBot="1" x14ac:dyDescent="0.4">
      <c r="C101" s="61"/>
      <c r="D101" s="63" t="s">
        <v>51</v>
      </c>
      <c r="E101" s="64" t="s">
        <v>66</v>
      </c>
      <c r="F101" s="64" t="s">
        <v>69</v>
      </c>
      <c r="G101" s="64" t="s">
        <v>50</v>
      </c>
      <c r="H101" s="65" t="s">
        <v>44</v>
      </c>
      <c r="I101" s="64" t="s">
        <v>71</v>
      </c>
      <c r="J101" s="64" t="s">
        <v>64</v>
      </c>
      <c r="K101" s="64" t="s">
        <v>63</v>
      </c>
      <c r="L101" s="66" t="s">
        <v>100</v>
      </c>
      <c r="M101" s="54"/>
      <c r="N101" s="67" t="s">
        <v>101</v>
      </c>
      <c r="O101" s="68" t="s">
        <v>102</v>
      </c>
      <c r="P101" s="69" t="s">
        <v>102</v>
      </c>
    </row>
    <row r="102" spans="3:16" ht="15" thickTop="1" x14ac:dyDescent="0.35">
      <c r="C102" s="61"/>
      <c r="D102" s="44">
        <v>0</v>
      </c>
      <c r="E102" s="45">
        <f>$K$6</f>
        <v>50</v>
      </c>
      <c r="F102" s="45">
        <f>E102+G102-D102</f>
        <v>60</v>
      </c>
      <c r="G102" s="45">
        <v>10</v>
      </c>
      <c r="H102" s="46">
        <f>$E$7*F102</f>
        <v>4200</v>
      </c>
      <c r="I102" s="45">
        <f>$E$6*IF(F102&gt;0,1,0)</f>
        <v>400</v>
      </c>
      <c r="J102" s="45">
        <f>D102*$E$9</f>
        <v>0</v>
      </c>
      <c r="K102" s="45">
        <v>0</v>
      </c>
      <c r="L102" s="47"/>
      <c r="M102" s="45"/>
      <c r="N102" s="44">
        <f>IF(F102&lt;=$E$4,1,0)</f>
        <v>0</v>
      </c>
      <c r="O102" s="45">
        <f>IF(G102&lt;=$E$8,1,0)</f>
        <v>1</v>
      </c>
      <c r="P102" s="47">
        <f>IF(D102&lt;=$E$8,1,0)</f>
        <v>1</v>
      </c>
    </row>
    <row r="103" spans="3:16" x14ac:dyDescent="0.35">
      <c r="C103" s="61"/>
      <c r="D103" s="44">
        <v>5</v>
      </c>
      <c r="E103" s="45">
        <f t="shared" ref="E103:E106" si="68">$K$6</f>
        <v>50</v>
      </c>
      <c r="F103" s="45">
        <f t="shared" ref="F103:F106" si="69">E103+G103-D103</f>
        <v>55</v>
      </c>
      <c r="G103" s="45">
        <v>10</v>
      </c>
      <c r="H103" s="46">
        <f t="shared" ref="H103:H106" si="70">$E$7*F103</f>
        <v>3850</v>
      </c>
      <c r="I103" s="45">
        <f t="shared" ref="I103:I106" si="71">$E$6*IF(F103&gt;0,1,0)</f>
        <v>400</v>
      </c>
      <c r="J103" s="45">
        <f t="shared" ref="J103:J106" si="72">D103*$E$9</f>
        <v>50</v>
      </c>
      <c r="K103" s="45">
        <v>0</v>
      </c>
      <c r="L103" s="47"/>
      <c r="M103" s="45"/>
      <c r="N103" s="44">
        <f t="shared" ref="N103:N106" si="73">IF(F103&lt;=$E$4,1,0)</f>
        <v>0</v>
      </c>
      <c r="O103" s="45">
        <f t="shared" ref="O103:O106" si="74">IF(G103&lt;=$E$8,1,0)</f>
        <v>1</v>
      </c>
      <c r="P103" s="47">
        <f>IF(D103&lt;=$E$8,1,0)</f>
        <v>1</v>
      </c>
    </row>
    <row r="104" spans="3:16" x14ac:dyDescent="0.35">
      <c r="C104" s="61"/>
      <c r="D104" s="44">
        <v>10</v>
      </c>
      <c r="E104" s="45">
        <f t="shared" si="68"/>
        <v>50</v>
      </c>
      <c r="F104" s="45">
        <f t="shared" si="69"/>
        <v>50</v>
      </c>
      <c r="G104" s="45">
        <v>10</v>
      </c>
      <c r="H104" s="46">
        <f t="shared" si="70"/>
        <v>3500</v>
      </c>
      <c r="I104" s="45">
        <f t="shared" si="71"/>
        <v>400</v>
      </c>
      <c r="J104" s="45">
        <f t="shared" si="72"/>
        <v>100</v>
      </c>
      <c r="K104" s="45">
        <v>0</v>
      </c>
      <c r="L104" s="47"/>
      <c r="M104" s="45"/>
      <c r="N104" s="44">
        <f t="shared" si="73"/>
        <v>0</v>
      </c>
      <c r="O104" s="45">
        <f t="shared" si="74"/>
        <v>1</v>
      </c>
      <c r="P104" s="47">
        <f>IF(D104&lt;=$E$8,1,0)</f>
        <v>1</v>
      </c>
    </row>
    <row r="105" spans="3:16" x14ac:dyDescent="0.35">
      <c r="C105" s="61"/>
      <c r="D105" s="44">
        <v>15</v>
      </c>
      <c r="E105" s="45">
        <f t="shared" si="68"/>
        <v>50</v>
      </c>
      <c r="F105" s="45">
        <f t="shared" si="69"/>
        <v>45</v>
      </c>
      <c r="G105" s="45">
        <v>10</v>
      </c>
      <c r="H105" s="46">
        <f t="shared" si="70"/>
        <v>3150</v>
      </c>
      <c r="I105" s="45">
        <f t="shared" si="71"/>
        <v>400</v>
      </c>
      <c r="J105" s="45">
        <f t="shared" si="72"/>
        <v>150</v>
      </c>
      <c r="K105" s="45">
        <v>0</v>
      </c>
      <c r="L105" s="47"/>
      <c r="M105" s="45"/>
      <c r="N105" s="44">
        <f t="shared" si="73"/>
        <v>0</v>
      </c>
      <c r="O105" s="45">
        <f t="shared" si="74"/>
        <v>1</v>
      </c>
      <c r="P105" s="47">
        <f>IF(D105&lt;=$E$8,1,0)</f>
        <v>1</v>
      </c>
    </row>
    <row r="106" spans="3:16" ht="15" thickBot="1" x14ac:dyDescent="0.4">
      <c r="C106" s="61"/>
      <c r="D106" s="56">
        <v>20</v>
      </c>
      <c r="E106" s="57">
        <f t="shared" si="68"/>
        <v>50</v>
      </c>
      <c r="F106" s="82">
        <f t="shared" si="69"/>
        <v>40</v>
      </c>
      <c r="G106" s="82">
        <v>10</v>
      </c>
      <c r="H106" s="83">
        <f t="shared" si="70"/>
        <v>2800</v>
      </c>
      <c r="I106" s="82">
        <f t="shared" si="71"/>
        <v>400</v>
      </c>
      <c r="J106" s="82">
        <f t="shared" si="72"/>
        <v>200</v>
      </c>
      <c r="K106" s="82">
        <v>0</v>
      </c>
      <c r="L106" s="79">
        <f>SUM(H106:K106)+$E$75</f>
        <v>5300</v>
      </c>
      <c r="M106" s="54"/>
      <c r="N106" s="56">
        <f t="shared" si="73"/>
        <v>1</v>
      </c>
      <c r="O106" s="57">
        <f t="shared" si="74"/>
        <v>1</v>
      </c>
      <c r="P106" s="58">
        <f>IF(D106&lt;=$E$8,1,0)</f>
        <v>1</v>
      </c>
    </row>
    <row r="107" spans="3:16" x14ac:dyDescent="0.35">
      <c r="C107" s="61"/>
      <c r="D107" s="53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5"/>
    </row>
    <row r="108" spans="3:16" x14ac:dyDescent="0.35">
      <c r="C108" s="61"/>
      <c r="D108" s="53" t="s">
        <v>76</v>
      </c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5"/>
    </row>
    <row r="109" spans="3:16" ht="15" thickBot="1" x14ac:dyDescent="0.4">
      <c r="C109" s="61"/>
      <c r="D109" s="53" t="s">
        <v>50</v>
      </c>
      <c r="E109" s="54">
        <v>15</v>
      </c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5"/>
    </row>
    <row r="110" spans="3:16" ht="15" thickBot="1" x14ac:dyDescent="0.4">
      <c r="C110" s="61"/>
      <c r="D110" s="63" t="s">
        <v>51</v>
      </c>
      <c r="E110" s="64" t="s">
        <v>66</v>
      </c>
      <c r="F110" s="64" t="s">
        <v>69</v>
      </c>
      <c r="G110" s="64" t="s">
        <v>50</v>
      </c>
      <c r="H110" s="65" t="s">
        <v>44</v>
      </c>
      <c r="I110" s="64" t="s">
        <v>71</v>
      </c>
      <c r="J110" s="64" t="s">
        <v>64</v>
      </c>
      <c r="K110" s="64" t="s">
        <v>63</v>
      </c>
      <c r="L110" s="66" t="s">
        <v>100</v>
      </c>
      <c r="M110" s="54"/>
      <c r="N110" s="67" t="s">
        <v>101</v>
      </c>
      <c r="O110" s="68" t="s">
        <v>102</v>
      </c>
      <c r="P110" s="69" t="s">
        <v>102</v>
      </c>
    </row>
    <row r="111" spans="3:16" ht="15" thickTop="1" x14ac:dyDescent="0.35">
      <c r="C111" s="61"/>
      <c r="D111" s="44">
        <v>0</v>
      </c>
      <c r="E111" s="45">
        <f>$K$6</f>
        <v>50</v>
      </c>
      <c r="F111" s="45">
        <f>E111+G111-D111</f>
        <v>65</v>
      </c>
      <c r="G111" s="45">
        <v>15</v>
      </c>
      <c r="H111" s="46">
        <f>$E$7*F111</f>
        <v>4550</v>
      </c>
      <c r="I111" s="45">
        <f>$E$6*IF(F111&gt;0,1,0)</f>
        <v>400</v>
      </c>
      <c r="J111" s="45">
        <f>D111*$E$9</f>
        <v>0</v>
      </c>
      <c r="K111" s="45">
        <v>0</v>
      </c>
      <c r="L111" s="47"/>
      <c r="M111" s="45"/>
      <c r="N111" s="44">
        <f>IF(F111&lt;=$E$4,1,0)</f>
        <v>0</v>
      </c>
      <c r="O111" s="45">
        <f>IF(G111&lt;=$E$8,1,0)</f>
        <v>1</v>
      </c>
      <c r="P111" s="47">
        <f>IF(D111&lt;=$E$8,1,0)</f>
        <v>1</v>
      </c>
    </row>
    <row r="112" spans="3:16" x14ac:dyDescent="0.35">
      <c r="C112" s="61"/>
      <c r="D112" s="44">
        <v>5</v>
      </c>
      <c r="E112" s="45">
        <f t="shared" ref="E112:E115" si="75">$K$6</f>
        <v>50</v>
      </c>
      <c r="F112" s="45">
        <f t="shared" ref="F112:F115" si="76">E112+G112-D112</f>
        <v>60</v>
      </c>
      <c r="G112" s="45">
        <v>15</v>
      </c>
      <c r="H112" s="46">
        <f t="shared" ref="H112:H115" si="77">$E$7*F112</f>
        <v>4200</v>
      </c>
      <c r="I112" s="45">
        <f t="shared" ref="I112:I115" si="78">$E$6*IF(F112&gt;0,1,0)</f>
        <v>400</v>
      </c>
      <c r="J112" s="45">
        <f t="shared" ref="J112:J115" si="79">D112*$E$9</f>
        <v>50</v>
      </c>
      <c r="K112" s="45">
        <v>0</v>
      </c>
      <c r="L112" s="47"/>
      <c r="M112" s="45"/>
      <c r="N112" s="44">
        <f t="shared" ref="N112:N115" si="80">IF(F112&lt;=$E$4,1,0)</f>
        <v>0</v>
      </c>
      <c r="O112" s="45">
        <f t="shared" ref="O112:O115" si="81">IF(G112&lt;=$E$8,1,0)</f>
        <v>1</v>
      </c>
      <c r="P112" s="47">
        <f>IF(D112&lt;=$E$8,1,0)</f>
        <v>1</v>
      </c>
    </row>
    <row r="113" spans="3:16" x14ac:dyDescent="0.35">
      <c r="C113" s="61"/>
      <c r="D113" s="44">
        <v>10</v>
      </c>
      <c r="E113" s="45">
        <f t="shared" si="75"/>
        <v>50</v>
      </c>
      <c r="F113" s="45">
        <f t="shared" si="76"/>
        <v>55</v>
      </c>
      <c r="G113" s="45">
        <v>15</v>
      </c>
      <c r="H113" s="46">
        <f t="shared" si="77"/>
        <v>3850</v>
      </c>
      <c r="I113" s="45">
        <f t="shared" si="78"/>
        <v>400</v>
      </c>
      <c r="J113" s="45">
        <f t="shared" si="79"/>
        <v>100</v>
      </c>
      <c r="K113" s="45">
        <v>0</v>
      </c>
      <c r="L113" s="47"/>
      <c r="M113" s="45"/>
      <c r="N113" s="44">
        <f t="shared" si="80"/>
        <v>0</v>
      </c>
      <c r="O113" s="45">
        <f t="shared" si="81"/>
        <v>1</v>
      </c>
      <c r="P113" s="47">
        <f>IF(D113&lt;=$E$8,1,0)</f>
        <v>1</v>
      </c>
    </row>
    <row r="114" spans="3:16" x14ac:dyDescent="0.35">
      <c r="C114" s="61"/>
      <c r="D114" s="44">
        <v>15</v>
      </c>
      <c r="E114" s="45">
        <f t="shared" si="75"/>
        <v>50</v>
      </c>
      <c r="F114" s="45">
        <f t="shared" si="76"/>
        <v>50</v>
      </c>
      <c r="G114" s="45">
        <v>15</v>
      </c>
      <c r="H114" s="46">
        <f t="shared" si="77"/>
        <v>3500</v>
      </c>
      <c r="I114" s="45">
        <f t="shared" si="78"/>
        <v>400</v>
      </c>
      <c r="J114" s="45">
        <f t="shared" si="79"/>
        <v>150</v>
      </c>
      <c r="K114" s="45">
        <v>0</v>
      </c>
      <c r="L114" s="47"/>
      <c r="M114" s="45"/>
      <c r="N114" s="44">
        <f t="shared" si="80"/>
        <v>0</v>
      </c>
      <c r="O114" s="45">
        <f t="shared" si="81"/>
        <v>1</v>
      </c>
      <c r="P114" s="47">
        <f>IF(D114&lt;=$E$8,1,0)</f>
        <v>1</v>
      </c>
    </row>
    <row r="115" spans="3:16" ht="15" thickBot="1" x14ac:dyDescent="0.4">
      <c r="C115" s="61"/>
      <c r="D115" s="48">
        <v>20</v>
      </c>
      <c r="E115" s="49">
        <f t="shared" si="75"/>
        <v>50</v>
      </c>
      <c r="F115" s="49">
        <f t="shared" si="76"/>
        <v>45</v>
      </c>
      <c r="G115" s="49">
        <v>15</v>
      </c>
      <c r="H115" s="50">
        <f t="shared" si="77"/>
        <v>3150</v>
      </c>
      <c r="I115" s="49">
        <f t="shared" si="78"/>
        <v>400</v>
      </c>
      <c r="J115" s="49">
        <f t="shared" si="79"/>
        <v>200</v>
      </c>
      <c r="K115" s="49">
        <v>0</v>
      </c>
      <c r="L115" s="51"/>
      <c r="M115" s="45"/>
      <c r="N115" s="48">
        <f t="shared" si="80"/>
        <v>0</v>
      </c>
      <c r="O115" s="49">
        <f t="shared" si="81"/>
        <v>1</v>
      </c>
      <c r="P115" s="51">
        <f>IF(D115&lt;=$E$8,1,0)</f>
        <v>1</v>
      </c>
    </row>
    <row r="116" spans="3:16" x14ac:dyDescent="0.35">
      <c r="C116" s="61"/>
      <c r="D116" s="53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5"/>
    </row>
    <row r="117" spans="3:16" x14ac:dyDescent="0.35">
      <c r="C117" s="61"/>
      <c r="D117" s="53" t="s">
        <v>107</v>
      </c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5"/>
    </row>
    <row r="118" spans="3:16" ht="15" thickBot="1" x14ac:dyDescent="0.4">
      <c r="C118" s="61"/>
      <c r="D118" s="53" t="s">
        <v>50</v>
      </c>
      <c r="E118" s="54">
        <v>20</v>
      </c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5"/>
    </row>
    <row r="119" spans="3:16" ht="15" thickBot="1" x14ac:dyDescent="0.4">
      <c r="C119" s="61"/>
      <c r="D119" s="63" t="s">
        <v>51</v>
      </c>
      <c r="E119" s="64" t="s">
        <v>66</v>
      </c>
      <c r="F119" s="64" t="s">
        <v>69</v>
      </c>
      <c r="G119" s="64" t="s">
        <v>50</v>
      </c>
      <c r="H119" s="65" t="s">
        <v>44</v>
      </c>
      <c r="I119" s="64" t="s">
        <v>71</v>
      </c>
      <c r="J119" s="64" t="s">
        <v>64</v>
      </c>
      <c r="K119" s="64" t="s">
        <v>63</v>
      </c>
      <c r="L119" s="66" t="s">
        <v>100</v>
      </c>
      <c r="M119" s="54"/>
      <c r="N119" s="67" t="s">
        <v>101</v>
      </c>
      <c r="O119" s="68" t="s">
        <v>102</v>
      </c>
      <c r="P119" s="69" t="s">
        <v>102</v>
      </c>
    </row>
    <row r="120" spans="3:16" ht="15" thickTop="1" x14ac:dyDescent="0.35">
      <c r="C120" s="61"/>
      <c r="D120" s="44">
        <v>0</v>
      </c>
      <c r="E120" s="45">
        <f>$K$6</f>
        <v>50</v>
      </c>
      <c r="F120" s="45">
        <f>E120+G120-D120</f>
        <v>70</v>
      </c>
      <c r="G120" s="45">
        <v>20</v>
      </c>
      <c r="H120" s="46">
        <f>$E$7*F120</f>
        <v>4900</v>
      </c>
      <c r="I120" s="45">
        <f>$E$6*IF(F120&gt;0,1,0)</f>
        <v>400</v>
      </c>
      <c r="J120" s="45">
        <f>D120*$E$9</f>
        <v>0</v>
      </c>
      <c r="K120" s="45">
        <v>0</v>
      </c>
      <c r="L120" s="47"/>
      <c r="M120" s="45"/>
      <c r="N120" s="44">
        <f>IF(F120&lt;=$E$4,1,0)</f>
        <v>0</v>
      </c>
      <c r="O120" s="45">
        <f>IF(G120&lt;=$E$8,1,0)</f>
        <v>1</v>
      </c>
      <c r="P120" s="47">
        <f>IF(D120&lt;=$E$8,1,0)</f>
        <v>1</v>
      </c>
    </row>
    <row r="121" spans="3:16" x14ac:dyDescent="0.35">
      <c r="C121" s="61"/>
      <c r="D121" s="44">
        <v>5</v>
      </c>
      <c r="E121" s="45">
        <f t="shared" ref="E121:E124" si="82">$K$6</f>
        <v>50</v>
      </c>
      <c r="F121" s="45">
        <f t="shared" ref="F121:F124" si="83">E121+G121-D121</f>
        <v>65</v>
      </c>
      <c r="G121" s="45">
        <v>20</v>
      </c>
      <c r="H121" s="46">
        <f t="shared" ref="H121:H124" si="84">$E$7*F121</f>
        <v>4550</v>
      </c>
      <c r="I121" s="45">
        <f t="shared" ref="I121:I124" si="85">$E$6*IF(F121&gt;0,1,0)</f>
        <v>400</v>
      </c>
      <c r="J121" s="45">
        <f t="shared" ref="J121:J124" si="86">D121*$E$9</f>
        <v>50</v>
      </c>
      <c r="K121" s="45">
        <v>0</v>
      </c>
      <c r="L121" s="47"/>
      <c r="M121" s="45"/>
      <c r="N121" s="44">
        <f t="shared" ref="N121:N124" si="87">IF(F121&lt;=$E$4,1,0)</f>
        <v>0</v>
      </c>
      <c r="O121" s="45">
        <f t="shared" ref="O121:O124" si="88">IF(G121&lt;=$E$8,1,0)</f>
        <v>1</v>
      </c>
      <c r="P121" s="47">
        <f>IF(D121&lt;=$E$8,1,0)</f>
        <v>1</v>
      </c>
    </row>
    <row r="122" spans="3:16" x14ac:dyDescent="0.35">
      <c r="C122" s="61"/>
      <c r="D122" s="44">
        <v>10</v>
      </c>
      <c r="E122" s="45">
        <f t="shared" si="82"/>
        <v>50</v>
      </c>
      <c r="F122" s="45">
        <f t="shared" si="83"/>
        <v>60</v>
      </c>
      <c r="G122" s="45">
        <v>20</v>
      </c>
      <c r="H122" s="46">
        <f t="shared" si="84"/>
        <v>4200</v>
      </c>
      <c r="I122" s="45">
        <f t="shared" si="85"/>
        <v>400</v>
      </c>
      <c r="J122" s="45">
        <f t="shared" si="86"/>
        <v>100</v>
      </c>
      <c r="K122" s="45">
        <v>0</v>
      </c>
      <c r="L122" s="47"/>
      <c r="M122" s="45"/>
      <c r="N122" s="44">
        <f t="shared" si="87"/>
        <v>0</v>
      </c>
      <c r="O122" s="45">
        <f t="shared" si="88"/>
        <v>1</v>
      </c>
      <c r="P122" s="47">
        <f>IF(D122&lt;=$E$8,1,0)</f>
        <v>1</v>
      </c>
    </row>
    <row r="123" spans="3:16" x14ac:dyDescent="0.35">
      <c r="C123" s="61"/>
      <c r="D123" s="44">
        <v>15</v>
      </c>
      <c r="E123" s="45">
        <f t="shared" si="82"/>
        <v>50</v>
      </c>
      <c r="F123" s="45">
        <f t="shared" si="83"/>
        <v>55</v>
      </c>
      <c r="G123" s="45">
        <v>20</v>
      </c>
      <c r="H123" s="46">
        <f t="shared" si="84"/>
        <v>3850</v>
      </c>
      <c r="I123" s="45">
        <f t="shared" si="85"/>
        <v>400</v>
      </c>
      <c r="J123" s="45">
        <f t="shared" si="86"/>
        <v>150</v>
      </c>
      <c r="K123" s="45">
        <v>0</v>
      </c>
      <c r="L123" s="47"/>
      <c r="M123" s="45"/>
      <c r="N123" s="44">
        <f t="shared" si="87"/>
        <v>0</v>
      </c>
      <c r="O123" s="45">
        <f t="shared" si="88"/>
        <v>1</v>
      </c>
      <c r="P123" s="47">
        <f>IF(D123&lt;=$E$8,1,0)</f>
        <v>1</v>
      </c>
    </row>
    <row r="124" spans="3:16" ht="15" thickBot="1" x14ac:dyDescent="0.4">
      <c r="C124" s="61"/>
      <c r="D124" s="48">
        <v>20</v>
      </c>
      <c r="E124" s="49">
        <f t="shared" si="82"/>
        <v>50</v>
      </c>
      <c r="F124" s="49">
        <f t="shared" si="83"/>
        <v>50</v>
      </c>
      <c r="G124" s="49">
        <v>20</v>
      </c>
      <c r="H124" s="50">
        <f t="shared" si="84"/>
        <v>3500</v>
      </c>
      <c r="I124" s="49">
        <f t="shared" si="85"/>
        <v>400</v>
      </c>
      <c r="J124" s="49">
        <f t="shared" si="86"/>
        <v>200</v>
      </c>
      <c r="K124" s="49">
        <v>0</v>
      </c>
      <c r="L124" s="51"/>
      <c r="M124" s="45"/>
      <c r="N124" s="48">
        <f t="shared" si="87"/>
        <v>0</v>
      </c>
      <c r="O124" s="49">
        <f t="shared" si="88"/>
        <v>1</v>
      </c>
      <c r="P124" s="51">
        <f>IF(D124&lt;=$E$8,1,0)</f>
        <v>1</v>
      </c>
    </row>
    <row r="125" spans="3:16" ht="15" thickBot="1" x14ac:dyDescent="0.4">
      <c r="C125" s="61"/>
      <c r="D125" s="53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5"/>
    </row>
    <row r="126" spans="3:16" ht="15" thickBot="1" x14ac:dyDescent="0.4">
      <c r="C126" s="61"/>
      <c r="D126" s="70" t="s">
        <v>105</v>
      </c>
      <c r="E126" s="71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5"/>
    </row>
    <row r="127" spans="3:16" ht="15" thickBot="1" x14ac:dyDescent="0.4">
      <c r="C127" s="61"/>
      <c r="D127" s="63" t="s">
        <v>50</v>
      </c>
      <c r="E127" s="66" t="s">
        <v>106</v>
      </c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5"/>
    </row>
    <row r="128" spans="3:16" ht="15" thickTop="1" x14ac:dyDescent="0.35">
      <c r="C128" s="61"/>
      <c r="D128" s="44">
        <v>0</v>
      </c>
      <c r="E128" s="47">
        <f>MIN(L84,L93,L102,L111,L120)</f>
        <v>0</v>
      </c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5"/>
    </row>
    <row r="129" spans="3:16" x14ac:dyDescent="0.35">
      <c r="C129" s="61"/>
      <c r="D129" s="44">
        <v>5</v>
      </c>
      <c r="E129" s="47">
        <f t="shared" ref="E129:E131" si="89">MIN(L85,L94,L103,L112,L121)</f>
        <v>0</v>
      </c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5"/>
    </row>
    <row r="130" spans="3:16" x14ac:dyDescent="0.35">
      <c r="C130" s="61"/>
      <c r="D130" s="80">
        <v>10</v>
      </c>
      <c r="E130" s="81">
        <f>MIN(L86,L95,L104,L113,L122)</f>
        <v>6000</v>
      </c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5"/>
    </row>
    <row r="131" spans="3:16" x14ac:dyDescent="0.35">
      <c r="C131" s="61"/>
      <c r="D131" s="53">
        <v>15</v>
      </c>
      <c r="E131" s="55">
        <f t="shared" si="89"/>
        <v>5700</v>
      </c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5"/>
    </row>
    <row r="132" spans="3:16" ht="15" thickBot="1" x14ac:dyDescent="0.4">
      <c r="C132" s="61"/>
      <c r="D132" s="78">
        <v>20</v>
      </c>
      <c r="E132" s="79">
        <f>MIN(L88,L97,L106,L115,L124)</f>
        <v>5300</v>
      </c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8"/>
    </row>
    <row r="133" spans="3:16" ht="15" thickBot="1" x14ac:dyDescent="0.4"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</row>
    <row r="134" spans="3:16" x14ac:dyDescent="0.35">
      <c r="C134" s="61"/>
      <c r="D134" s="26" t="s">
        <v>16</v>
      </c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24"/>
    </row>
    <row r="135" spans="3:16" x14ac:dyDescent="0.35">
      <c r="C135" s="61"/>
      <c r="D135" s="53" t="s">
        <v>75</v>
      </c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5"/>
    </row>
    <row r="136" spans="3:16" ht="15" thickBot="1" x14ac:dyDescent="0.4">
      <c r="C136" s="61"/>
      <c r="D136" s="53" t="s">
        <v>50</v>
      </c>
      <c r="E136" s="54">
        <v>10</v>
      </c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5"/>
    </row>
    <row r="137" spans="3:16" ht="15" thickBot="1" x14ac:dyDescent="0.4">
      <c r="C137" s="61"/>
      <c r="D137" s="63" t="s">
        <v>51</v>
      </c>
      <c r="E137" s="64" t="s">
        <v>66</v>
      </c>
      <c r="F137" s="64" t="s">
        <v>69</v>
      </c>
      <c r="G137" s="64" t="s">
        <v>50</v>
      </c>
      <c r="H137" s="65" t="s">
        <v>44</v>
      </c>
      <c r="I137" s="64" t="s">
        <v>71</v>
      </c>
      <c r="J137" s="64" t="s">
        <v>64</v>
      </c>
      <c r="K137" s="64" t="s">
        <v>63</v>
      </c>
      <c r="L137" s="66" t="s">
        <v>100</v>
      </c>
      <c r="M137" s="54"/>
      <c r="N137" s="67" t="s">
        <v>101</v>
      </c>
      <c r="O137" s="68" t="s">
        <v>102</v>
      </c>
      <c r="P137" s="69" t="s">
        <v>102</v>
      </c>
    </row>
    <row r="138" spans="3:16" ht="15" thickTop="1" x14ac:dyDescent="0.35">
      <c r="C138" s="61"/>
      <c r="D138" s="53">
        <v>0</v>
      </c>
      <c r="E138" s="54">
        <f>$K$7</f>
        <v>10</v>
      </c>
      <c r="F138" s="54">
        <f>E138+G138-D138</f>
        <v>20</v>
      </c>
      <c r="G138" s="54">
        <v>10</v>
      </c>
      <c r="H138" s="62">
        <f>$E$7*F138</f>
        <v>1400</v>
      </c>
      <c r="I138" s="54">
        <f>$E$6*IF(F138&gt;0,1,0)</f>
        <v>400</v>
      </c>
      <c r="J138" s="54">
        <f>D138*$E$9</f>
        <v>0</v>
      </c>
      <c r="K138" s="54">
        <v>0</v>
      </c>
      <c r="L138" s="55">
        <f>SUM(H138:K138)+$E$130</f>
        <v>7800</v>
      </c>
      <c r="M138" s="54"/>
      <c r="N138" s="53">
        <f>IF(F138&lt;=$E$4,1,0)</f>
        <v>1</v>
      </c>
      <c r="O138" s="54">
        <f>IF(G138&lt;=$E$8,1,0)</f>
        <v>1</v>
      </c>
      <c r="P138" s="55">
        <f>IF(D138&lt;=$E$8,1,0)</f>
        <v>1</v>
      </c>
    </row>
    <row r="139" spans="3:16" x14ac:dyDescent="0.35">
      <c r="C139" s="61"/>
      <c r="D139" s="53">
        <v>5</v>
      </c>
      <c r="E139" s="54">
        <f t="shared" ref="E139:E142" si="90">$K$7</f>
        <v>10</v>
      </c>
      <c r="F139" s="54">
        <f t="shared" ref="F139:F142" si="91">E139+G139-D139</f>
        <v>15</v>
      </c>
      <c r="G139" s="54">
        <v>10</v>
      </c>
      <c r="H139" s="62">
        <f t="shared" ref="H139:H142" si="92">$E$7*F139</f>
        <v>1050</v>
      </c>
      <c r="I139" s="54">
        <f t="shared" ref="I139:I142" si="93">$E$6*IF(F139&gt;0,1,0)</f>
        <v>400</v>
      </c>
      <c r="J139" s="54">
        <f t="shared" ref="J139:J142" si="94">D139*$E$9</f>
        <v>50</v>
      </c>
      <c r="K139" s="54">
        <v>0</v>
      </c>
      <c r="L139" s="55">
        <f t="shared" ref="L139:L142" si="95">SUM(H139:K139)+$E$130</f>
        <v>7500</v>
      </c>
      <c r="M139" s="54"/>
      <c r="N139" s="53">
        <f t="shared" ref="N139:N142" si="96">IF(F139&lt;=$E$4,1,0)</f>
        <v>1</v>
      </c>
      <c r="O139" s="54">
        <f t="shared" ref="O139:O142" si="97">IF(G139&lt;=$E$8,1,0)</f>
        <v>1</v>
      </c>
      <c r="P139" s="55">
        <f>IF(D139&lt;=$E$8,1,0)</f>
        <v>1</v>
      </c>
    </row>
    <row r="140" spans="3:16" x14ac:dyDescent="0.35">
      <c r="C140" s="61"/>
      <c r="D140" s="53">
        <v>10</v>
      </c>
      <c r="E140" s="54">
        <f t="shared" si="90"/>
        <v>10</v>
      </c>
      <c r="F140" s="54">
        <f t="shared" si="91"/>
        <v>10</v>
      </c>
      <c r="G140" s="54">
        <v>10</v>
      </c>
      <c r="H140" s="62">
        <f t="shared" si="92"/>
        <v>700</v>
      </c>
      <c r="I140" s="54">
        <f t="shared" si="93"/>
        <v>400</v>
      </c>
      <c r="J140" s="54">
        <f t="shared" si="94"/>
        <v>100</v>
      </c>
      <c r="K140" s="54">
        <v>0</v>
      </c>
      <c r="L140" s="55">
        <f t="shared" si="95"/>
        <v>7200</v>
      </c>
      <c r="M140" s="54"/>
      <c r="N140" s="53">
        <f t="shared" si="96"/>
        <v>1</v>
      </c>
      <c r="O140" s="54">
        <f t="shared" si="97"/>
        <v>1</v>
      </c>
      <c r="P140" s="55">
        <f>IF(D140&lt;=$E$8,1,0)</f>
        <v>1</v>
      </c>
    </row>
    <row r="141" spans="3:16" x14ac:dyDescent="0.35">
      <c r="C141" s="61"/>
      <c r="D141" s="53">
        <v>15</v>
      </c>
      <c r="E141" s="54">
        <f t="shared" si="90"/>
        <v>10</v>
      </c>
      <c r="F141" s="54">
        <f t="shared" si="91"/>
        <v>5</v>
      </c>
      <c r="G141" s="54">
        <v>10</v>
      </c>
      <c r="H141" s="62">
        <f t="shared" si="92"/>
        <v>350</v>
      </c>
      <c r="I141" s="54">
        <f t="shared" si="93"/>
        <v>400</v>
      </c>
      <c r="J141" s="54">
        <f t="shared" si="94"/>
        <v>150</v>
      </c>
      <c r="K141" s="54">
        <v>0</v>
      </c>
      <c r="L141" s="55">
        <f t="shared" si="95"/>
        <v>6900</v>
      </c>
      <c r="M141" s="54"/>
      <c r="N141" s="53">
        <f t="shared" si="96"/>
        <v>1</v>
      </c>
      <c r="O141" s="54">
        <f t="shared" si="97"/>
        <v>1</v>
      </c>
      <c r="P141" s="55">
        <f>IF(D141&lt;=$E$8,1,0)</f>
        <v>1</v>
      </c>
    </row>
    <row r="142" spans="3:16" ht="15" thickBot="1" x14ac:dyDescent="0.4">
      <c r="C142" s="61"/>
      <c r="D142" s="56">
        <v>20</v>
      </c>
      <c r="E142" s="57">
        <f t="shared" si="90"/>
        <v>10</v>
      </c>
      <c r="F142" s="76">
        <f t="shared" si="91"/>
        <v>0</v>
      </c>
      <c r="G142" s="57">
        <v>10</v>
      </c>
      <c r="H142" s="59">
        <f t="shared" si="92"/>
        <v>0</v>
      </c>
      <c r="I142" s="57">
        <f t="shared" si="93"/>
        <v>0</v>
      </c>
      <c r="J142" s="57">
        <f t="shared" si="94"/>
        <v>200</v>
      </c>
      <c r="K142" s="57">
        <v>0</v>
      </c>
      <c r="L142" s="34">
        <f>SUM(H142:K142)+$E$130</f>
        <v>6200</v>
      </c>
      <c r="M142" s="54"/>
      <c r="N142" s="56">
        <f t="shared" si="96"/>
        <v>1</v>
      </c>
      <c r="O142" s="57">
        <f t="shared" si="97"/>
        <v>1</v>
      </c>
      <c r="P142" s="58">
        <f>IF(D142&lt;=$E$8,1,0)</f>
        <v>1</v>
      </c>
    </row>
    <row r="143" spans="3:16" x14ac:dyDescent="0.35">
      <c r="C143" s="61"/>
      <c r="D143" s="53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5"/>
    </row>
    <row r="144" spans="3:16" x14ac:dyDescent="0.35">
      <c r="C144" s="61"/>
      <c r="D144" s="53" t="s">
        <v>76</v>
      </c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5"/>
    </row>
    <row r="145" spans="3:16" ht="15" thickBot="1" x14ac:dyDescent="0.4">
      <c r="C145" s="61"/>
      <c r="D145" s="53" t="s">
        <v>50</v>
      </c>
      <c r="E145" s="54">
        <v>15</v>
      </c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5"/>
    </row>
    <row r="146" spans="3:16" ht="15" thickBot="1" x14ac:dyDescent="0.4">
      <c r="C146" s="61"/>
      <c r="D146" s="63" t="s">
        <v>51</v>
      </c>
      <c r="E146" s="64" t="s">
        <v>66</v>
      </c>
      <c r="F146" s="64" t="s">
        <v>69</v>
      </c>
      <c r="G146" s="64" t="s">
        <v>50</v>
      </c>
      <c r="H146" s="65" t="s">
        <v>44</v>
      </c>
      <c r="I146" s="64" t="s">
        <v>71</v>
      </c>
      <c r="J146" s="64" t="s">
        <v>64</v>
      </c>
      <c r="K146" s="64" t="s">
        <v>63</v>
      </c>
      <c r="L146" s="66" t="s">
        <v>100</v>
      </c>
      <c r="M146" s="54"/>
      <c r="N146" s="67" t="s">
        <v>101</v>
      </c>
      <c r="O146" s="68" t="s">
        <v>102</v>
      </c>
      <c r="P146" s="69" t="s">
        <v>102</v>
      </c>
    </row>
    <row r="147" spans="3:16" ht="15" thickTop="1" x14ac:dyDescent="0.35">
      <c r="C147" s="61"/>
      <c r="D147" s="53">
        <v>0</v>
      </c>
      <c r="E147" s="54">
        <f>$K$7</f>
        <v>10</v>
      </c>
      <c r="F147" s="54">
        <f>E147+G147-D147</f>
        <v>25</v>
      </c>
      <c r="G147" s="54">
        <v>15</v>
      </c>
      <c r="H147" s="62">
        <f>$E$7*F147</f>
        <v>1750</v>
      </c>
      <c r="I147" s="54">
        <f>$E$6*IF(F147&gt;0,1,0)</f>
        <v>400</v>
      </c>
      <c r="J147" s="54">
        <f>D147*$E$9</f>
        <v>0</v>
      </c>
      <c r="K147" s="54">
        <v>0</v>
      </c>
      <c r="L147" s="55">
        <f>SUM(H147:K147)+$E$131</f>
        <v>7850</v>
      </c>
      <c r="M147" s="54"/>
      <c r="N147" s="53">
        <f>IF(F147&lt;=$E$4,1,0)</f>
        <v>1</v>
      </c>
      <c r="O147" s="54">
        <f>IF(G147&lt;=$E$8,1,0)</f>
        <v>1</v>
      </c>
      <c r="P147" s="55">
        <f>IF(D147&lt;=$E$8,1,0)</f>
        <v>1</v>
      </c>
    </row>
    <row r="148" spans="3:16" x14ac:dyDescent="0.35">
      <c r="C148" s="61"/>
      <c r="D148" s="53">
        <v>5</v>
      </c>
      <c r="E148" s="54">
        <f t="shared" ref="E148:E151" si="98">$K$7</f>
        <v>10</v>
      </c>
      <c r="F148" s="54">
        <f t="shared" ref="F148:F151" si="99">E148+G148-D148</f>
        <v>20</v>
      </c>
      <c r="G148" s="54">
        <v>15</v>
      </c>
      <c r="H148" s="62">
        <f t="shared" ref="H148:H151" si="100">$E$7*F148</f>
        <v>1400</v>
      </c>
      <c r="I148" s="54">
        <f t="shared" ref="I148:I151" si="101">$E$6*IF(F148&gt;0,1,0)</f>
        <v>400</v>
      </c>
      <c r="J148" s="54">
        <f t="shared" ref="J148:J151" si="102">D148*$E$9</f>
        <v>50</v>
      </c>
      <c r="K148" s="54">
        <v>0</v>
      </c>
      <c r="L148" s="55">
        <f t="shared" ref="L148:L151" si="103">SUM(H148:K148)+$E$131</f>
        <v>7550</v>
      </c>
      <c r="M148" s="54"/>
      <c r="N148" s="53">
        <f t="shared" ref="N148:N151" si="104">IF(F148&lt;=$E$4,1,0)</f>
        <v>1</v>
      </c>
      <c r="O148" s="54">
        <f t="shared" ref="O148:O151" si="105">IF(G148&lt;=$E$8,1,0)</f>
        <v>1</v>
      </c>
      <c r="P148" s="55">
        <f>IF(D148&lt;=$E$8,1,0)</f>
        <v>1</v>
      </c>
    </row>
    <row r="149" spans="3:16" x14ac:dyDescent="0.35">
      <c r="C149" s="61"/>
      <c r="D149" s="53">
        <v>10</v>
      </c>
      <c r="E149" s="54">
        <f t="shared" si="98"/>
        <v>10</v>
      </c>
      <c r="F149" s="54">
        <f t="shared" si="99"/>
        <v>15</v>
      </c>
      <c r="G149" s="54">
        <v>15</v>
      </c>
      <c r="H149" s="62">
        <f t="shared" si="100"/>
        <v>1050</v>
      </c>
      <c r="I149" s="54">
        <f t="shared" si="101"/>
        <v>400</v>
      </c>
      <c r="J149" s="54">
        <f t="shared" si="102"/>
        <v>100</v>
      </c>
      <c r="K149" s="54">
        <v>0</v>
      </c>
      <c r="L149" s="55">
        <f t="shared" si="103"/>
        <v>7250</v>
      </c>
      <c r="M149" s="54"/>
      <c r="N149" s="53">
        <f t="shared" si="104"/>
        <v>1</v>
      </c>
      <c r="O149" s="54">
        <f t="shared" si="105"/>
        <v>1</v>
      </c>
      <c r="P149" s="55">
        <f>IF(D149&lt;=$E$8,1,0)</f>
        <v>1</v>
      </c>
    </row>
    <row r="150" spans="3:16" x14ac:dyDescent="0.35">
      <c r="C150" s="61"/>
      <c r="D150" s="53">
        <v>15</v>
      </c>
      <c r="E150" s="54">
        <f t="shared" si="98"/>
        <v>10</v>
      </c>
      <c r="F150" s="54">
        <f t="shared" si="99"/>
        <v>10</v>
      </c>
      <c r="G150" s="54">
        <v>15</v>
      </c>
      <c r="H150" s="62">
        <f t="shared" si="100"/>
        <v>700</v>
      </c>
      <c r="I150" s="54">
        <f t="shared" si="101"/>
        <v>400</v>
      </c>
      <c r="J150" s="54">
        <f t="shared" si="102"/>
        <v>150</v>
      </c>
      <c r="K150" s="54">
        <v>0</v>
      </c>
      <c r="L150" s="55">
        <f t="shared" si="103"/>
        <v>6950</v>
      </c>
      <c r="M150" s="54"/>
      <c r="N150" s="53">
        <f t="shared" si="104"/>
        <v>1</v>
      </c>
      <c r="O150" s="54">
        <f t="shared" si="105"/>
        <v>1</v>
      </c>
      <c r="P150" s="55">
        <f>IF(D150&lt;=$E$8,1,0)</f>
        <v>1</v>
      </c>
    </row>
    <row r="151" spans="3:16" ht="15" thickBot="1" x14ac:dyDescent="0.4">
      <c r="C151" s="61"/>
      <c r="D151" s="56">
        <v>20</v>
      </c>
      <c r="E151" s="57">
        <f t="shared" si="98"/>
        <v>10</v>
      </c>
      <c r="F151" s="57">
        <f t="shared" si="99"/>
        <v>5</v>
      </c>
      <c r="G151" s="57">
        <v>15</v>
      </c>
      <c r="H151" s="59">
        <f t="shared" si="100"/>
        <v>350</v>
      </c>
      <c r="I151" s="57">
        <f t="shared" si="101"/>
        <v>400</v>
      </c>
      <c r="J151" s="57">
        <f t="shared" si="102"/>
        <v>200</v>
      </c>
      <c r="K151" s="57">
        <v>0</v>
      </c>
      <c r="L151" s="58">
        <f t="shared" si="103"/>
        <v>6650</v>
      </c>
      <c r="M151" s="54"/>
      <c r="N151" s="56">
        <f t="shared" si="104"/>
        <v>1</v>
      </c>
      <c r="O151" s="57">
        <f t="shared" si="105"/>
        <v>1</v>
      </c>
      <c r="P151" s="58">
        <f>IF(D151&lt;=$E$8,1,0)</f>
        <v>1</v>
      </c>
    </row>
    <row r="152" spans="3:16" x14ac:dyDescent="0.35">
      <c r="C152" s="61"/>
      <c r="D152" s="53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5"/>
    </row>
    <row r="153" spans="3:16" x14ac:dyDescent="0.35">
      <c r="C153" s="61"/>
      <c r="D153" s="53" t="s">
        <v>107</v>
      </c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5"/>
    </row>
    <row r="154" spans="3:16" ht="15" thickBot="1" x14ac:dyDescent="0.4">
      <c r="C154" s="61"/>
      <c r="D154" s="53" t="s">
        <v>50</v>
      </c>
      <c r="E154" s="54">
        <v>20</v>
      </c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5"/>
    </row>
    <row r="155" spans="3:16" ht="15" thickBot="1" x14ac:dyDescent="0.4">
      <c r="C155" s="61"/>
      <c r="D155" s="63" t="s">
        <v>51</v>
      </c>
      <c r="E155" s="64" t="s">
        <v>66</v>
      </c>
      <c r="F155" s="64" t="s">
        <v>69</v>
      </c>
      <c r="G155" s="64" t="s">
        <v>50</v>
      </c>
      <c r="H155" s="65" t="s">
        <v>44</v>
      </c>
      <c r="I155" s="64" t="s">
        <v>71</v>
      </c>
      <c r="J155" s="64" t="s">
        <v>64</v>
      </c>
      <c r="K155" s="64" t="s">
        <v>63</v>
      </c>
      <c r="L155" s="66" t="s">
        <v>100</v>
      </c>
      <c r="M155" s="54"/>
      <c r="N155" s="67" t="s">
        <v>101</v>
      </c>
      <c r="O155" s="68" t="s">
        <v>102</v>
      </c>
      <c r="P155" s="69" t="s">
        <v>102</v>
      </c>
    </row>
    <row r="156" spans="3:16" ht="15" thickTop="1" x14ac:dyDescent="0.35">
      <c r="C156" s="61"/>
      <c r="D156" s="53">
        <v>0</v>
      </c>
      <c r="E156" s="54">
        <f>$K$7</f>
        <v>10</v>
      </c>
      <c r="F156" s="54">
        <f>E156+G156-D156</f>
        <v>30</v>
      </c>
      <c r="G156" s="54">
        <v>20</v>
      </c>
      <c r="H156" s="62">
        <f>$E$7*F156</f>
        <v>2100</v>
      </c>
      <c r="I156" s="54">
        <f>$E$6*IF(F156&gt;0,1,0)</f>
        <v>400</v>
      </c>
      <c r="J156" s="54">
        <f>D156*$E$9</f>
        <v>0</v>
      </c>
      <c r="K156" s="54">
        <v>0</v>
      </c>
      <c r="L156" s="55">
        <f>SUM(H156:K156)+$E$132</f>
        <v>7800</v>
      </c>
      <c r="M156" s="54"/>
      <c r="N156" s="53">
        <f>IF(F156&lt;=$E$4,1,0)</f>
        <v>1</v>
      </c>
      <c r="O156" s="54">
        <f>IF(G156&lt;=$E$8,1,0)</f>
        <v>1</v>
      </c>
      <c r="P156" s="55">
        <f>IF(D156&lt;=$E$8,1,0)</f>
        <v>1</v>
      </c>
    </row>
    <row r="157" spans="3:16" x14ac:dyDescent="0.35">
      <c r="C157" s="61"/>
      <c r="D157" s="53">
        <v>5</v>
      </c>
      <c r="E157" s="54">
        <f t="shared" ref="E157:E160" si="106">$K$7</f>
        <v>10</v>
      </c>
      <c r="F157" s="54">
        <f t="shared" ref="F157:F160" si="107">E157+G157-D157</f>
        <v>25</v>
      </c>
      <c r="G157" s="54">
        <v>20</v>
      </c>
      <c r="H157" s="62">
        <f t="shared" ref="H157:H160" si="108">$E$7*F157</f>
        <v>1750</v>
      </c>
      <c r="I157" s="54">
        <f t="shared" ref="I157:I160" si="109">$E$6*IF(F157&gt;0,1,0)</f>
        <v>400</v>
      </c>
      <c r="J157" s="54">
        <f t="shared" ref="J157:J160" si="110">D157*$E$9</f>
        <v>50</v>
      </c>
      <c r="K157" s="54">
        <v>0</v>
      </c>
      <c r="L157" s="55">
        <f t="shared" ref="L157:L160" si="111">SUM(H157:K157)+$E$132</f>
        <v>7500</v>
      </c>
      <c r="M157" s="54"/>
      <c r="N157" s="53">
        <f t="shared" ref="N157:N160" si="112">IF(F157&lt;=$E$4,1,0)</f>
        <v>1</v>
      </c>
      <c r="O157" s="54">
        <f t="shared" ref="O157:O160" si="113">IF(G157&lt;=$E$8,1,0)</f>
        <v>1</v>
      </c>
      <c r="P157" s="55">
        <f>IF(D157&lt;=$E$8,1,0)</f>
        <v>1</v>
      </c>
    </row>
    <row r="158" spans="3:16" x14ac:dyDescent="0.35">
      <c r="C158" s="61"/>
      <c r="D158" s="53">
        <v>10</v>
      </c>
      <c r="E158" s="54">
        <f t="shared" si="106"/>
        <v>10</v>
      </c>
      <c r="F158" s="54">
        <f t="shared" si="107"/>
        <v>20</v>
      </c>
      <c r="G158" s="54">
        <v>20</v>
      </c>
      <c r="H158" s="62">
        <f t="shared" si="108"/>
        <v>1400</v>
      </c>
      <c r="I158" s="54">
        <f t="shared" si="109"/>
        <v>400</v>
      </c>
      <c r="J158" s="54">
        <f t="shared" si="110"/>
        <v>100</v>
      </c>
      <c r="K158" s="54">
        <v>0</v>
      </c>
      <c r="L158" s="55">
        <f t="shared" si="111"/>
        <v>7200</v>
      </c>
      <c r="M158" s="54"/>
      <c r="N158" s="53">
        <f t="shared" si="112"/>
        <v>1</v>
      </c>
      <c r="O158" s="54">
        <f t="shared" si="113"/>
        <v>1</v>
      </c>
      <c r="P158" s="55">
        <f>IF(D158&lt;=$E$8,1,0)</f>
        <v>1</v>
      </c>
    </row>
    <row r="159" spans="3:16" x14ac:dyDescent="0.35">
      <c r="C159" s="61"/>
      <c r="D159" s="53">
        <v>15</v>
      </c>
      <c r="E159" s="54">
        <f t="shared" si="106"/>
        <v>10</v>
      </c>
      <c r="F159" s="54">
        <f t="shared" si="107"/>
        <v>15</v>
      </c>
      <c r="G159" s="54">
        <v>20</v>
      </c>
      <c r="H159" s="62">
        <f t="shared" si="108"/>
        <v>1050</v>
      </c>
      <c r="I159" s="54">
        <f t="shared" si="109"/>
        <v>400</v>
      </c>
      <c r="J159" s="54">
        <f t="shared" si="110"/>
        <v>150</v>
      </c>
      <c r="K159" s="54">
        <v>0</v>
      </c>
      <c r="L159" s="55">
        <f t="shared" si="111"/>
        <v>6900</v>
      </c>
      <c r="M159" s="54"/>
      <c r="N159" s="53">
        <f t="shared" si="112"/>
        <v>1</v>
      </c>
      <c r="O159" s="54">
        <f t="shared" si="113"/>
        <v>1</v>
      </c>
      <c r="P159" s="55">
        <f>IF(D159&lt;=$E$8,1,0)</f>
        <v>1</v>
      </c>
    </row>
    <row r="160" spans="3:16" ht="15" thickBot="1" x14ac:dyDescent="0.4">
      <c r="C160" s="61"/>
      <c r="D160" s="56">
        <v>20</v>
      </c>
      <c r="E160" s="57">
        <f t="shared" si="106"/>
        <v>10</v>
      </c>
      <c r="F160" s="57">
        <f t="shared" si="107"/>
        <v>10</v>
      </c>
      <c r="G160" s="57">
        <v>20</v>
      </c>
      <c r="H160" s="59">
        <f t="shared" si="108"/>
        <v>700</v>
      </c>
      <c r="I160" s="57">
        <f t="shared" si="109"/>
        <v>400</v>
      </c>
      <c r="J160" s="57">
        <f t="shared" si="110"/>
        <v>200</v>
      </c>
      <c r="K160" s="57">
        <v>0</v>
      </c>
      <c r="L160" s="58">
        <f t="shared" si="111"/>
        <v>6600</v>
      </c>
      <c r="M160" s="54"/>
      <c r="N160" s="56">
        <f t="shared" si="112"/>
        <v>1</v>
      </c>
      <c r="O160" s="57">
        <f t="shared" si="113"/>
        <v>1</v>
      </c>
      <c r="P160" s="58">
        <f>IF(D160&lt;=$E$8,1,0)</f>
        <v>1</v>
      </c>
    </row>
    <row r="161" spans="3:16" ht="15" thickBot="1" x14ac:dyDescent="0.4">
      <c r="C161" s="61"/>
      <c r="D161" s="53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5"/>
    </row>
    <row r="162" spans="3:16" ht="15" thickBot="1" x14ac:dyDescent="0.4">
      <c r="C162" s="61"/>
      <c r="D162" s="70" t="s">
        <v>105</v>
      </c>
      <c r="E162" s="71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5"/>
    </row>
    <row r="163" spans="3:16" ht="15" thickBot="1" x14ac:dyDescent="0.4">
      <c r="C163" s="61"/>
      <c r="D163" s="63" t="s">
        <v>50</v>
      </c>
      <c r="E163" s="66" t="s">
        <v>106</v>
      </c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5"/>
    </row>
    <row r="164" spans="3:16" ht="15" thickTop="1" x14ac:dyDescent="0.35">
      <c r="C164" s="61"/>
      <c r="D164" s="53">
        <v>0</v>
      </c>
      <c r="E164" s="55">
        <f>MIN(L138,L147,L156)</f>
        <v>7800</v>
      </c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5"/>
    </row>
    <row r="165" spans="3:16" x14ac:dyDescent="0.35">
      <c r="C165" s="61"/>
      <c r="D165" s="53">
        <v>5</v>
      </c>
      <c r="E165" s="55">
        <f t="shared" ref="E165:E168" si="114">MIN(L139,L148,L157)</f>
        <v>7500</v>
      </c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5"/>
    </row>
    <row r="166" spans="3:16" x14ac:dyDescent="0.35">
      <c r="C166" s="61"/>
      <c r="D166" s="53">
        <v>10</v>
      </c>
      <c r="E166" s="55">
        <f t="shared" si="114"/>
        <v>7200</v>
      </c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5"/>
    </row>
    <row r="167" spans="3:16" x14ac:dyDescent="0.35">
      <c r="C167" s="61"/>
      <c r="D167" s="53">
        <v>15</v>
      </c>
      <c r="E167" s="55">
        <f t="shared" si="114"/>
        <v>6900</v>
      </c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5"/>
    </row>
    <row r="168" spans="3:16" ht="15" thickBot="1" x14ac:dyDescent="0.4">
      <c r="C168" s="61"/>
      <c r="D168" s="75">
        <v>20</v>
      </c>
      <c r="E168" s="34">
        <f t="shared" si="114"/>
        <v>6200</v>
      </c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8"/>
    </row>
    <row r="169" spans="3:16" ht="15" thickBot="1" x14ac:dyDescent="0.4">
      <c r="C169" s="61"/>
    </row>
    <row r="170" spans="3:16" x14ac:dyDescent="0.35">
      <c r="C170" s="61"/>
      <c r="D170" s="26" t="s">
        <v>21</v>
      </c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24"/>
    </row>
    <row r="171" spans="3:16" x14ac:dyDescent="0.35">
      <c r="C171" s="61"/>
      <c r="D171" s="7" t="s">
        <v>73</v>
      </c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8"/>
    </row>
    <row r="172" spans="3:16" ht="15" thickBot="1" x14ac:dyDescent="0.4">
      <c r="C172" s="61"/>
      <c r="D172" s="7" t="s">
        <v>50</v>
      </c>
      <c r="E172" s="38">
        <v>0</v>
      </c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8"/>
    </row>
    <row r="173" spans="3:16" ht="15" thickBot="1" x14ac:dyDescent="0.4">
      <c r="C173" s="61"/>
      <c r="D173" s="5" t="s">
        <v>51</v>
      </c>
      <c r="E173" s="11" t="s">
        <v>66</v>
      </c>
      <c r="F173" s="11" t="s">
        <v>69</v>
      </c>
      <c r="G173" s="11" t="s">
        <v>50</v>
      </c>
      <c r="H173" s="40" t="s">
        <v>44</v>
      </c>
      <c r="I173" s="11" t="s">
        <v>71</v>
      </c>
      <c r="J173" s="11" t="s">
        <v>64</v>
      </c>
      <c r="K173" s="11" t="s">
        <v>63</v>
      </c>
      <c r="L173" s="6" t="s">
        <v>100</v>
      </c>
      <c r="M173" s="38"/>
      <c r="N173" s="41" t="s">
        <v>101</v>
      </c>
      <c r="O173" s="42" t="s">
        <v>102</v>
      </c>
      <c r="P173" s="43" t="s">
        <v>102</v>
      </c>
    </row>
    <row r="174" spans="3:16" ht="15" thickTop="1" x14ac:dyDescent="0.35">
      <c r="C174" s="61"/>
      <c r="D174" s="7">
        <v>0</v>
      </c>
      <c r="E174" s="38">
        <v>20</v>
      </c>
      <c r="F174" s="38">
        <f>E174+G174-D174</f>
        <v>20</v>
      </c>
      <c r="G174" s="38">
        <v>0</v>
      </c>
      <c r="H174" s="37">
        <f>$E$7*F174</f>
        <v>1400</v>
      </c>
      <c r="I174" s="38">
        <f>$E$6*IF(F174&gt;0,1,0)</f>
        <v>400</v>
      </c>
      <c r="J174" s="38">
        <f>D174*$E$9</f>
        <v>0</v>
      </c>
      <c r="K174" s="38">
        <v>0</v>
      </c>
      <c r="L174" s="8">
        <f>SUM(H174:K174)+$E$164</f>
        <v>9600</v>
      </c>
      <c r="M174" s="38"/>
      <c r="N174" s="7">
        <f>IF(F174&lt;=$E$4,1,0)</f>
        <v>1</v>
      </c>
      <c r="O174" s="38">
        <f>IF(G174&lt;=$E$8,1,0)</f>
        <v>1</v>
      </c>
      <c r="P174" s="8">
        <f>IF(D174&lt;=$E$8,1,0)</f>
        <v>1</v>
      </c>
    </row>
    <row r="175" spans="3:16" x14ac:dyDescent="0.35">
      <c r="C175" s="61"/>
      <c r="D175" s="7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8"/>
    </row>
    <row r="176" spans="3:16" x14ac:dyDescent="0.35">
      <c r="C176" s="61"/>
      <c r="D176" s="7" t="s">
        <v>74</v>
      </c>
      <c r="E176" s="38"/>
      <c r="F176" s="38"/>
      <c r="G176" s="38"/>
      <c r="H176" s="38"/>
      <c r="I176" s="60"/>
      <c r="J176" s="38"/>
      <c r="K176" s="38"/>
      <c r="L176" s="38"/>
      <c r="M176" s="38"/>
      <c r="N176" s="38"/>
      <c r="O176" s="38"/>
      <c r="P176" s="8"/>
    </row>
    <row r="177" spans="3:16" ht="15" thickBot="1" x14ac:dyDescent="0.4">
      <c r="C177" s="61"/>
      <c r="D177" s="7" t="s">
        <v>50</v>
      </c>
      <c r="E177" s="38">
        <v>5</v>
      </c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8"/>
    </row>
    <row r="178" spans="3:16" ht="15" thickBot="1" x14ac:dyDescent="0.4">
      <c r="C178" s="61"/>
      <c r="D178" s="5" t="s">
        <v>51</v>
      </c>
      <c r="E178" s="11" t="s">
        <v>66</v>
      </c>
      <c r="F178" s="11" t="s">
        <v>69</v>
      </c>
      <c r="G178" s="11" t="s">
        <v>50</v>
      </c>
      <c r="H178" s="40" t="s">
        <v>44</v>
      </c>
      <c r="I178" s="11" t="s">
        <v>71</v>
      </c>
      <c r="J178" s="11" t="s">
        <v>64</v>
      </c>
      <c r="K178" s="11" t="s">
        <v>63</v>
      </c>
      <c r="L178" s="6" t="s">
        <v>100</v>
      </c>
      <c r="M178" s="38"/>
      <c r="N178" s="41" t="s">
        <v>101</v>
      </c>
      <c r="O178" s="42" t="s">
        <v>102</v>
      </c>
      <c r="P178" s="43" t="s">
        <v>102</v>
      </c>
    </row>
    <row r="179" spans="3:16" ht="15" thickTop="1" x14ac:dyDescent="0.35">
      <c r="C179" s="61"/>
      <c r="D179" s="7">
        <v>0</v>
      </c>
      <c r="E179" s="38">
        <v>20</v>
      </c>
      <c r="F179" s="38">
        <f>E179+G179-D179</f>
        <v>25</v>
      </c>
      <c r="G179" s="38">
        <v>5</v>
      </c>
      <c r="H179" s="37">
        <f>$E$7*F179</f>
        <v>1750</v>
      </c>
      <c r="I179" s="38">
        <f>$E$6*IF(F179&gt;0,1,0)</f>
        <v>400</v>
      </c>
      <c r="J179" s="38">
        <f>D179*$E$9</f>
        <v>0</v>
      </c>
      <c r="K179" s="38">
        <v>0</v>
      </c>
      <c r="L179" s="8">
        <f>SUM(H179:K179)+$E$165</f>
        <v>9650</v>
      </c>
      <c r="M179" s="38"/>
      <c r="N179" s="7">
        <f>IF(F179&lt;=$E$4,1,0)</f>
        <v>1</v>
      </c>
      <c r="O179" s="38">
        <f>IF(G179&lt;=$E$8,1,0)</f>
        <v>1</v>
      </c>
      <c r="P179" s="8">
        <f>IF(D179&lt;=$E$8,1,0)</f>
        <v>1</v>
      </c>
    </row>
    <row r="180" spans="3:16" x14ac:dyDescent="0.35">
      <c r="C180" s="61"/>
      <c r="D180" s="7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8"/>
    </row>
    <row r="181" spans="3:16" x14ac:dyDescent="0.35">
      <c r="C181" s="61"/>
      <c r="D181" s="7" t="s">
        <v>75</v>
      </c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8"/>
    </row>
    <row r="182" spans="3:16" ht="15" thickBot="1" x14ac:dyDescent="0.4">
      <c r="C182" s="61"/>
      <c r="D182" s="7" t="s">
        <v>50</v>
      </c>
      <c r="E182" s="38">
        <v>10</v>
      </c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8"/>
    </row>
    <row r="183" spans="3:16" ht="15" thickBot="1" x14ac:dyDescent="0.4">
      <c r="C183" s="61"/>
      <c r="D183" s="5" t="s">
        <v>51</v>
      </c>
      <c r="E183" s="11" t="s">
        <v>66</v>
      </c>
      <c r="F183" s="11" t="s">
        <v>69</v>
      </c>
      <c r="G183" s="11" t="s">
        <v>50</v>
      </c>
      <c r="H183" s="40" t="s">
        <v>44</v>
      </c>
      <c r="I183" s="11" t="s">
        <v>71</v>
      </c>
      <c r="J183" s="11" t="s">
        <v>64</v>
      </c>
      <c r="K183" s="11" t="s">
        <v>63</v>
      </c>
      <c r="L183" s="6" t="s">
        <v>100</v>
      </c>
      <c r="M183" s="38"/>
      <c r="N183" s="41" t="s">
        <v>101</v>
      </c>
      <c r="O183" s="42" t="s">
        <v>102</v>
      </c>
      <c r="P183" s="43" t="s">
        <v>102</v>
      </c>
    </row>
    <row r="184" spans="3:16" ht="15" thickTop="1" x14ac:dyDescent="0.35">
      <c r="C184" s="61"/>
      <c r="D184" s="7">
        <v>0</v>
      </c>
      <c r="E184" s="38">
        <v>20</v>
      </c>
      <c r="F184" s="38">
        <f>E184+G184-D184</f>
        <v>30</v>
      </c>
      <c r="G184" s="38">
        <v>10</v>
      </c>
      <c r="H184" s="37">
        <f>$E$7*F184</f>
        <v>2100</v>
      </c>
      <c r="I184" s="38">
        <f>$E$6*IF(F184&gt;0,1,0)</f>
        <v>400</v>
      </c>
      <c r="J184" s="38">
        <f>D184*$E$9</f>
        <v>0</v>
      </c>
      <c r="K184" s="38">
        <v>0</v>
      </c>
      <c r="L184" s="8">
        <f>SUM(H184:K184)+$E$166</f>
        <v>9700</v>
      </c>
      <c r="M184" s="38"/>
      <c r="N184" s="7">
        <f>IF(F184&lt;=$E$4,1,0)</f>
        <v>1</v>
      </c>
      <c r="O184" s="38">
        <f>IF(G184&lt;=$E$8,1,0)</f>
        <v>1</v>
      </c>
      <c r="P184" s="8">
        <f>IF(D184&lt;=$E$8,1,0)</f>
        <v>1</v>
      </c>
    </row>
    <row r="185" spans="3:16" x14ac:dyDescent="0.35">
      <c r="C185" s="61"/>
      <c r="D185" s="7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8"/>
    </row>
    <row r="186" spans="3:16" x14ac:dyDescent="0.35">
      <c r="C186" s="61"/>
      <c r="D186" s="7" t="s">
        <v>75</v>
      </c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8"/>
    </row>
    <row r="187" spans="3:16" ht="15" thickBot="1" x14ac:dyDescent="0.4">
      <c r="C187" s="61"/>
      <c r="D187" s="7" t="s">
        <v>50</v>
      </c>
      <c r="E187" s="38">
        <v>15</v>
      </c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8"/>
    </row>
    <row r="188" spans="3:16" ht="15" thickBot="1" x14ac:dyDescent="0.4">
      <c r="C188" s="61"/>
      <c r="D188" s="5" t="s">
        <v>51</v>
      </c>
      <c r="E188" s="11" t="s">
        <v>66</v>
      </c>
      <c r="F188" s="11" t="s">
        <v>69</v>
      </c>
      <c r="G188" s="11" t="s">
        <v>50</v>
      </c>
      <c r="H188" s="40" t="s">
        <v>44</v>
      </c>
      <c r="I188" s="11" t="s">
        <v>71</v>
      </c>
      <c r="J188" s="11" t="s">
        <v>64</v>
      </c>
      <c r="K188" s="11" t="s">
        <v>63</v>
      </c>
      <c r="L188" s="6" t="s">
        <v>100</v>
      </c>
      <c r="M188" s="38"/>
      <c r="N188" s="41" t="s">
        <v>101</v>
      </c>
      <c r="O188" s="42" t="s">
        <v>102</v>
      </c>
      <c r="P188" s="43" t="s">
        <v>102</v>
      </c>
    </row>
    <row r="189" spans="3:16" ht="15" thickTop="1" x14ac:dyDescent="0.35">
      <c r="D189" s="7">
        <v>0</v>
      </c>
      <c r="E189" s="38">
        <v>20</v>
      </c>
      <c r="F189" s="38">
        <f>E189+G189-D189</f>
        <v>35</v>
      </c>
      <c r="G189" s="38">
        <v>15</v>
      </c>
      <c r="H189" s="37">
        <f>$E$7*F189</f>
        <v>2450</v>
      </c>
      <c r="I189" s="38">
        <f>$E$6*IF(F189&gt;0,1,0)</f>
        <v>400</v>
      </c>
      <c r="J189" s="38">
        <f>D189*$E$9</f>
        <v>0</v>
      </c>
      <c r="K189" s="38">
        <v>0</v>
      </c>
      <c r="L189" s="8">
        <f>SUM(H189:K189)+E167</f>
        <v>9750</v>
      </c>
      <c r="M189" s="38"/>
      <c r="N189" s="7">
        <f>IF(F189&lt;=$E$4,1,0)</f>
        <v>1</v>
      </c>
      <c r="O189" s="38">
        <f>IF(G189&lt;=$E$8,1,0)</f>
        <v>1</v>
      </c>
      <c r="P189" s="8">
        <f>IF(D189&lt;=$E$8,1,0)</f>
        <v>1</v>
      </c>
    </row>
    <row r="190" spans="3:16" x14ac:dyDescent="0.35">
      <c r="D190" s="7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8"/>
    </row>
    <row r="191" spans="3:16" x14ac:dyDescent="0.35">
      <c r="D191" s="7" t="s">
        <v>76</v>
      </c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8"/>
    </row>
    <row r="192" spans="3:16" ht="15" thickBot="1" x14ac:dyDescent="0.4">
      <c r="D192" s="7" t="s">
        <v>50</v>
      </c>
      <c r="E192" s="38">
        <v>20</v>
      </c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8"/>
    </row>
    <row r="193" spans="4:16" ht="15" thickBot="1" x14ac:dyDescent="0.4">
      <c r="D193" s="5" t="s">
        <v>51</v>
      </c>
      <c r="E193" s="11" t="s">
        <v>66</v>
      </c>
      <c r="F193" s="11" t="s">
        <v>69</v>
      </c>
      <c r="G193" s="11" t="s">
        <v>50</v>
      </c>
      <c r="H193" s="40" t="s">
        <v>44</v>
      </c>
      <c r="I193" s="11" t="s">
        <v>71</v>
      </c>
      <c r="J193" s="11" t="s">
        <v>64</v>
      </c>
      <c r="K193" s="11" t="s">
        <v>63</v>
      </c>
      <c r="L193" s="6" t="s">
        <v>100</v>
      </c>
      <c r="M193" s="38"/>
      <c r="N193" s="41" t="s">
        <v>101</v>
      </c>
      <c r="O193" s="42" t="s">
        <v>102</v>
      </c>
      <c r="P193" s="43" t="s">
        <v>102</v>
      </c>
    </row>
    <row r="194" spans="4:16" ht="15" thickTop="1" x14ac:dyDescent="0.35">
      <c r="D194" s="7">
        <v>0</v>
      </c>
      <c r="E194" s="38">
        <v>20</v>
      </c>
      <c r="F194" s="74">
        <f>E194+G194-D194</f>
        <v>40</v>
      </c>
      <c r="G194" s="38">
        <v>20</v>
      </c>
      <c r="H194" s="37">
        <f>$E$7*F194</f>
        <v>2800</v>
      </c>
      <c r="I194" s="38">
        <f>$E$6*IF(F194&gt;0,1,0)</f>
        <v>400</v>
      </c>
      <c r="J194" s="38">
        <f>D194*$E$9</f>
        <v>0</v>
      </c>
      <c r="K194" s="38">
        <v>0</v>
      </c>
      <c r="L194" s="36">
        <f>SUM(H194:K194)+E168</f>
        <v>9400</v>
      </c>
      <c r="M194" s="38"/>
      <c r="N194" s="7">
        <f>IF(F194&lt;=$E$4,1,0)</f>
        <v>1</v>
      </c>
      <c r="O194" s="38">
        <f>IF(G194&lt;=$E$8,1,0)</f>
        <v>1</v>
      </c>
      <c r="P194" s="8">
        <f>IF(D194&lt;=$E$8,1,0)</f>
        <v>1</v>
      </c>
    </row>
    <row r="195" spans="4:16" ht="15" thickBot="1" x14ac:dyDescent="0.4">
      <c r="D195" s="7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8"/>
    </row>
    <row r="196" spans="4:16" ht="15" thickBot="1" x14ac:dyDescent="0.4">
      <c r="D196" s="26" t="s">
        <v>105</v>
      </c>
      <c r="E196" s="24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8"/>
    </row>
    <row r="197" spans="4:16" ht="15" thickBot="1" x14ac:dyDescent="0.4">
      <c r="D197" s="5" t="s">
        <v>50</v>
      </c>
      <c r="E197" s="6" t="s">
        <v>106</v>
      </c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8"/>
    </row>
    <row r="198" spans="4:16" ht="15.5" thickTop="1" thickBot="1" x14ac:dyDescent="0.4">
      <c r="D198" s="72">
        <v>20</v>
      </c>
      <c r="E198" s="73">
        <f>MIN(L174,L179,L184,L189,L194)</f>
        <v>9400</v>
      </c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1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68E66-15E9-49A0-B7CF-F04F754C98DA}">
  <dimension ref="C2:M27"/>
  <sheetViews>
    <sheetView tabSelected="1" zoomScale="73" zoomScaleNormal="98" workbookViewId="0">
      <selection activeCell="L16" sqref="L16"/>
    </sheetView>
  </sheetViews>
  <sheetFormatPr defaultRowHeight="14.5" x14ac:dyDescent="0.35"/>
  <cols>
    <col min="2" max="2" width="15.6328125" bestFit="1" customWidth="1"/>
    <col min="3" max="3" width="35.81640625" bestFit="1" customWidth="1"/>
    <col min="4" max="4" width="15.36328125" bestFit="1" customWidth="1"/>
    <col min="5" max="5" width="16" bestFit="1" customWidth="1"/>
    <col min="6" max="6" width="14" bestFit="1" customWidth="1"/>
    <col min="8" max="8" width="35.81640625" bestFit="1" customWidth="1"/>
    <col min="9" max="9" width="16.36328125" bestFit="1" customWidth="1"/>
    <col min="10" max="10" width="15.453125" bestFit="1" customWidth="1"/>
    <col min="11" max="11" width="8.08984375" customWidth="1"/>
    <col min="12" max="12" width="7.26953125" customWidth="1"/>
    <col min="13" max="13" width="5.90625" customWidth="1"/>
  </cols>
  <sheetData>
    <row r="2" spans="3:13" ht="15" thickBot="1" x14ac:dyDescent="0.4"/>
    <row r="3" spans="3:13" x14ac:dyDescent="0.35">
      <c r="H3" s="26" t="s">
        <v>16</v>
      </c>
      <c r="I3" s="32"/>
      <c r="J3" s="32"/>
      <c r="K3" s="32"/>
      <c r="L3" s="32"/>
      <c r="M3" s="24"/>
    </row>
    <row r="4" spans="3:13" x14ac:dyDescent="0.35">
      <c r="E4" t="s">
        <v>21</v>
      </c>
      <c r="F4" t="s">
        <v>109</v>
      </c>
      <c r="H4" s="7" t="s">
        <v>115</v>
      </c>
      <c r="I4" s="38" t="s">
        <v>114</v>
      </c>
      <c r="J4" s="38"/>
      <c r="K4" s="38"/>
      <c r="L4" s="38"/>
      <c r="M4" s="8"/>
    </row>
    <row r="5" spans="3:13" x14ac:dyDescent="0.35">
      <c r="E5" t="s">
        <v>16</v>
      </c>
      <c r="F5" t="s">
        <v>110</v>
      </c>
      <c r="H5" s="7">
        <v>0</v>
      </c>
      <c r="I5" s="38">
        <v>0</v>
      </c>
      <c r="J5" s="38"/>
      <c r="K5" s="38"/>
      <c r="L5" s="38"/>
      <c r="M5" s="8"/>
    </row>
    <row r="6" spans="3:13" x14ac:dyDescent="0.35">
      <c r="E6" t="s">
        <v>10</v>
      </c>
      <c r="F6" t="s">
        <v>111</v>
      </c>
      <c r="H6" s="7">
        <v>1</v>
      </c>
      <c r="I6" s="38">
        <v>2.8</v>
      </c>
      <c r="J6" s="38"/>
      <c r="K6" s="38"/>
      <c r="L6" s="38"/>
      <c r="M6" s="8"/>
    </row>
    <row r="7" spans="3:13" x14ac:dyDescent="0.35">
      <c r="H7" s="7">
        <v>2</v>
      </c>
      <c r="I7" s="38">
        <v>3.3</v>
      </c>
      <c r="J7" s="38"/>
      <c r="K7" s="38"/>
      <c r="L7" s="38"/>
      <c r="M7" s="8"/>
    </row>
    <row r="8" spans="3:13" x14ac:dyDescent="0.35">
      <c r="H8" s="7">
        <v>3</v>
      </c>
      <c r="I8" s="38">
        <v>3.7</v>
      </c>
      <c r="J8" s="38"/>
      <c r="K8" s="38"/>
      <c r="L8" s="38"/>
      <c r="M8" s="8"/>
    </row>
    <row r="9" spans="3:13" x14ac:dyDescent="0.35">
      <c r="H9" s="7">
        <v>4</v>
      </c>
      <c r="I9" s="38">
        <v>4</v>
      </c>
      <c r="J9" s="38"/>
      <c r="K9" s="38"/>
      <c r="L9" s="38"/>
      <c r="M9" s="8"/>
    </row>
    <row r="10" spans="3:13" x14ac:dyDescent="0.35">
      <c r="H10" s="7"/>
      <c r="I10" s="38"/>
      <c r="J10" s="38"/>
      <c r="K10" s="38"/>
      <c r="L10" s="38"/>
      <c r="M10" s="8"/>
    </row>
    <row r="11" spans="3:13" ht="15" thickBot="1" x14ac:dyDescent="0.4">
      <c r="H11" s="7"/>
      <c r="I11" s="38"/>
      <c r="J11" s="38"/>
      <c r="K11" s="38"/>
      <c r="L11" s="38"/>
      <c r="M11" s="8"/>
    </row>
    <row r="12" spans="3:13" x14ac:dyDescent="0.35">
      <c r="C12" s="26" t="s">
        <v>10</v>
      </c>
      <c r="D12" s="32"/>
      <c r="E12" s="24"/>
      <c r="H12" s="7"/>
      <c r="I12" s="38"/>
      <c r="J12" s="38"/>
      <c r="K12" s="38"/>
      <c r="L12" s="38"/>
      <c r="M12" s="8"/>
    </row>
    <row r="13" spans="3:13" x14ac:dyDescent="0.35">
      <c r="C13" s="7" t="s">
        <v>112</v>
      </c>
      <c r="D13" s="38">
        <v>0</v>
      </c>
      <c r="E13" s="8"/>
      <c r="H13" s="7"/>
      <c r="I13" s="38"/>
      <c r="J13" s="38"/>
      <c r="K13" s="38"/>
      <c r="L13" s="38"/>
      <c r="M13" s="8"/>
    </row>
    <row r="14" spans="3:13" x14ac:dyDescent="0.35">
      <c r="C14" s="7" t="s">
        <v>113</v>
      </c>
      <c r="D14" s="38" t="s">
        <v>115</v>
      </c>
      <c r="E14" s="8" t="s">
        <v>114</v>
      </c>
      <c r="H14" s="7" t="s">
        <v>116</v>
      </c>
      <c r="I14" s="38">
        <v>4</v>
      </c>
      <c r="J14" s="38">
        <v>3</v>
      </c>
      <c r="K14" s="38">
        <v>2</v>
      </c>
      <c r="L14" s="38">
        <v>1</v>
      </c>
      <c r="M14" s="8">
        <v>0</v>
      </c>
    </row>
    <row r="15" spans="3:13" x14ac:dyDescent="0.35">
      <c r="C15" s="7">
        <v>0</v>
      </c>
      <c r="D15" s="38">
        <f>4-C15</f>
        <v>4</v>
      </c>
      <c r="E15" s="8">
        <v>5</v>
      </c>
      <c r="H15" s="7">
        <v>0</v>
      </c>
      <c r="I15" s="88">
        <f>E15</f>
        <v>5</v>
      </c>
      <c r="J15" s="90">
        <f>I5+E16</f>
        <v>4.2</v>
      </c>
      <c r="K15" s="92">
        <f>E17</f>
        <v>3</v>
      </c>
      <c r="L15" s="94">
        <f>E18</f>
        <v>1.7</v>
      </c>
      <c r="M15" s="8">
        <v>0</v>
      </c>
    </row>
    <row r="16" spans="3:13" x14ac:dyDescent="0.35">
      <c r="C16" s="7">
        <v>1</v>
      </c>
      <c r="D16" s="38">
        <f t="shared" ref="D16:D19" si="0">4-C16</f>
        <v>3</v>
      </c>
      <c r="E16" s="8">
        <v>4.2</v>
      </c>
      <c r="H16" s="7">
        <v>1</v>
      </c>
      <c r="I16" s="38"/>
      <c r="J16" s="88">
        <f>I6+E16</f>
        <v>7</v>
      </c>
      <c r="K16" s="90">
        <f>I6+E17</f>
        <v>5.8</v>
      </c>
      <c r="L16" s="96">
        <f>I6+E18</f>
        <v>4.5</v>
      </c>
      <c r="M16" s="95">
        <v>2.8</v>
      </c>
    </row>
    <row r="17" spans="3:13" x14ac:dyDescent="0.35">
      <c r="C17" s="7">
        <v>2</v>
      </c>
      <c r="D17" s="38">
        <f t="shared" si="0"/>
        <v>2</v>
      </c>
      <c r="E17" s="8">
        <v>3</v>
      </c>
      <c r="H17" s="7">
        <v>2</v>
      </c>
      <c r="I17" s="38"/>
      <c r="J17" s="38"/>
      <c r="K17" s="88">
        <f>I7+E17</f>
        <v>6.3</v>
      </c>
      <c r="L17" s="90">
        <f>I7+E18</f>
        <v>5</v>
      </c>
      <c r="M17" s="93">
        <v>3.3</v>
      </c>
    </row>
    <row r="18" spans="3:13" x14ac:dyDescent="0.35">
      <c r="C18" s="7">
        <v>3</v>
      </c>
      <c r="D18" s="38">
        <f t="shared" si="0"/>
        <v>1</v>
      </c>
      <c r="E18" s="52">
        <v>1.7</v>
      </c>
      <c r="H18" s="7">
        <v>3</v>
      </c>
      <c r="I18" s="38"/>
      <c r="J18" s="38"/>
      <c r="K18" s="38"/>
      <c r="L18" s="88">
        <f>I8+E18</f>
        <v>5.4</v>
      </c>
      <c r="M18" s="91">
        <v>3.7</v>
      </c>
    </row>
    <row r="19" spans="3:13" ht="15" thickBot="1" x14ac:dyDescent="0.4">
      <c r="C19" s="9">
        <v>4</v>
      </c>
      <c r="D19" s="21">
        <f t="shared" si="0"/>
        <v>0</v>
      </c>
      <c r="E19" s="10">
        <v>0</v>
      </c>
      <c r="H19" s="9">
        <v>4</v>
      </c>
      <c r="I19" s="21"/>
      <c r="J19" s="21"/>
      <c r="K19" s="21"/>
      <c r="L19" s="21"/>
      <c r="M19" s="89">
        <v>4</v>
      </c>
    </row>
    <row r="20" spans="3:13" ht="15" thickBot="1" x14ac:dyDescent="0.4"/>
    <row r="21" spans="3:13" x14ac:dyDescent="0.35">
      <c r="H21" s="26" t="s">
        <v>21</v>
      </c>
      <c r="I21" s="32"/>
      <c r="J21" s="32"/>
      <c r="K21" s="24"/>
    </row>
    <row r="22" spans="3:13" x14ac:dyDescent="0.35">
      <c r="C22" t="s">
        <v>118</v>
      </c>
      <c r="D22" t="s">
        <v>119</v>
      </c>
      <c r="H22" s="7" t="s">
        <v>115</v>
      </c>
      <c r="I22" s="38" t="s">
        <v>114</v>
      </c>
      <c r="J22" s="38" t="s">
        <v>117</v>
      </c>
      <c r="K22" s="8" t="s">
        <v>42</v>
      </c>
    </row>
    <row r="23" spans="3:13" x14ac:dyDescent="0.35">
      <c r="C23" t="s">
        <v>109</v>
      </c>
      <c r="D23">
        <v>2</v>
      </c>
      <c r="H23" s="7">
        <v>0</v>
      </c>
      <c r="I23" s="38">
        <v>0</v>
      </c>
      <c r="J23" s="38">
        <f>4-H23</f>
        <v>4</v>
      </c>
      <c r="K23" s="8">
        <f>I23+MAX(I15,J16,K17,L18,M19)</f>
        <v>7</v>
      </c>
    </row>
    <row r="24" spans="3:13" x14ac:dyDescent="0.35">
      <c r="C24" t="s">
        <v>110</v>
      </c>
      <c r="D24">
        <v>1</v>
      </c>
      <c r="H24" s="7">
        <v>1</v>
      </c>
      <c r="I24" s="38">
        <v>1.5</v>
      </c>
      <c r="J24" s="38">
        <f>4-H24</f>
        <v>3</v>
      </c>
      <c r="K24" s="8">
        <f>I24+MAX(J15,K16,L17,M18)</f>
        <v>7.3</v>
      </c>
    </row>
    <row r="25" spans="3:13" x14ac:dyDescent="0.35">
      <c r="C25" t="s">
        <v>111</v>
      </c>
      <c r="D25">
        <v>1</v>
      </c>
      <c r="H25" s="7">
        <v>2</v>
      </c>
      <c r="I25" s="38">
        <v>3.5</v>
      </c>
      <c r="J25" s="38">
        <f>4-H25</f>
        <v>2</v>
      </c>
      <c r="K25" s="52">
        <f>I25+MAX(K15,L16,M17)</f>
        <v>8</v>
      </c>
    </row>
    <row r="26" spans="3:13" x14ac:dyDescent="0.35">
      <c r="H26" s="7">
        <v>3</v>
      </c>
      <c r="I26" s="38">
        <v>5</v>
      </c>
      <c r="J26" s="38">
        <f>4-H26</f>
        <v>1</v>
      </c>
      <c r="K26" s="8">
        <f>I26+MAX(L15,M16)</f>
        <v>7.8</v>
      </c>
    </row>
    <row r="27" spans="3:13" ht="15" thickBot="1" x14ac:dyDescent="0.4">
      <c r="H27" s="9">
        <v>4</v>
      </c>
      <c r="I27" s="21">
        <v>6</v>
      </c>
      <c r="J27" s="21">
        <f>4-H27</f>
        <v>0</v>
      </c>
      <c r="K27" s="10">
        <f>I27+M15</f>
        <v>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Ark1</vt:lpstr>
      <vt:lpstr>Shortest path</vt:lpstr>
      <vt:lpstr>Lagertoeri (shit)</vt:lpstr>
      <vt:lpstr>Lagerteori axelotl</vt:lpstr>
      <vt:lpstr>bedste indtil videre</vt:lpstr>
      <vt:lpstr>Neckarwestheim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Adam Bjørn Mathiesen</cp:lastModifiedBy>
  <dcterms:created xsi:type="dcterms:W3CDTF">2015-06-05T18:19:34Z</dcterms:created>
  <dcterms:modified xsi:type="dcterms:W3CDTF">2026-02-22T21:01:06Z</dcterms:modified>
</cp:coreProperties>
</file>