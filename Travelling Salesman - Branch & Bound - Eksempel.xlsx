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cbs-my.sharepoint.com/personal/adma24ac_student_cbs_dk/Documents/Skrivebord/Operationsanalyse/Eksamen/OA_HA_MAT/"/>
    </mc:Choice>
  </mc:AlternateContent>
  <xr:revisionPtr revIDLastSave="752" documentId="8_{27D6EFDE-8D1E-4B20-8108-64FAACEF211F}" xr6:coauthVersionLast="47" xr6:coauthVersionMax="47" xr10:uidLastSave="{D0DAC275-F194-44A6-B090-E4171294980D}"/>
  <bookViews>
    <workbookView xWindow="-110" yWindow="-110" windowWidth="19420" windowHeight="11500" firstSheet="2" activeTab="4" xr2:uid="{032F5708-7A66-4500-9F2E-8B8CE2AB77AE}"/>
  </bookViews>
  <sheets>
    <sheet name="Traveling Salesman" sheetId="1" r:id="rId1"/>
    <sheet name="Hungarian algorithm" sheetId="2" r:id="rId2"/>
    <sheet name="Northwest corner" sheetId="3" r:id="rId3"/>
    <sheet name="Vogels appoksimation" sheetId="5" r:id="rId4"/>
    <sheet name="Minimum column" sheetId="6" r:id="rId5"/>
  </sheets>
  <definedNames>
    <definedName name="solver_adj" localSheetId="0" hidden="1">'Traveling Salesman'!$N$23:$S$28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'Traveling Salesman'!$N$23:$S$28</definedName>
    <definedName name="solver_lhs2" localSheetId="0" hidden="1">'Traveling Salesman'!$N$29:$S$29</definedName>
    <definedName name="solver_lhs3" localSheetId="0" hidden="1">'Traveling Salesman'!$T$23:$T$28</definedName>
    <definedName name="solver_lhs4" localSheetId="0" hidden="1">'Traveling Salesman'!$T$29</definedName>
    <definedName name="solver_lhs5" localSheetId="0" hidden="1">'Traveling Salesman'!$V$23:$Z$27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'Traveling Salesman'!$O$31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el5" localSheetId="0" hidden="1">1</definedName>
    <definedName name="solver_rhs1" localSheetId="0" hidden="1">"binary"</definedName>
    <definedName name="solver_rhs2" localSheetId="0" hidden="1">1</definedName>
    <definedName name="solver_rhs3" localSheetId="0" hidden="1">1</definedName>
    <definedName name="solver_rhs4" localSheetId="0" hidden="1">0</definedName>
    <definedName name="solver_rhs5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6" l="1"/>
  <c r="G22" i="6"/>
  <c r="C24" i="6"/>
  <c r="C48" i="5"/>
  <c r="L26" i="2"/>
  <c r="L25" i="2"/>
  <c r="D37" i="2"/>
  <c r="E37" i="2"/>
  <c r="F37" i="2"/>
  <c r="G37" i="2"/>
  <c r="H37" i="2"/>
  <c r="D38" i="2"/>
  <c r="E38" i="2"/>
  <c r="F38" i="2"/>
  <c r="G38" i="2"/>
  <c r="H38" i="2"/>
  <c r="D39" i="2"/>
  <c r="E39" i="2"/>
  <c r="F39" i="2"/>
  <c r="G39" i="2"/>
  <c r="H39" i="2"/>
  <c r="D40" i="2"/>
  <c r="E40" i="2"/>
  <c r="F40" i="2"/>
  <c r="G40" i="2"/>
  <c r="H40" i="2"/>
  <c r="E36" i="2"/>
  <c r="F36" i="2"/>
  <c r="G36" i="2"/>
  <c r="H36" i="2"/>
  <c r="D31" i="2"/>
  <c r="E31" i="2"/>
  <c r="F31" i="2"/>
  <c r="G31" i="2"/>
  <c r="H31" i="2"/>
  <c r="D32" i="2"/>
  <c r="E32" i="2"/>
  <c r="F32" i="2"/>
  <c r="G32" i="2"/>
  <c r="H32" i="2"/>
  <c r="D33" i="2"/>
  <c r="E33" i="2"/>
  <c r="F33" i="2"/>
  <c r="G33" i="2"/>
  <c r="H33" i="2"/>
  <c r="D34" i="2"/>
  <c r="E34" i="2"/>
  <c r="F34" i="2"/>
  <c r="G34" i="2"/>
  <c r="H34" i="2"/>
  <c r="E30" i="2"/>
  <c r="F30" i="2"/>
  <c r="G30" i="2"/>
  <c r="H30" i="2"/>
  <c r="L12" i="2"/>
  <c r="E19" i="2" s="1" a="1"/>
  <c r="K19" i="2"/>
  <c r="M19" i="2"/>
  <c r="N19" i="2"/>
  <c r="O19" i="2"/>
  <c r="K20" i="2"/>
  <c r="M20" i="2"/>
  <c r="N20" i="2"/>
  <c r="O20" i="2"/>
  <c r="K21" i="2"/>
  <c r="M21" i="2"/>
  <c r="N21" i="2"/>
  <c r="O21" i="2"/>
  <c r="K22" i="2"/>
  <c r="M22" i="2"/>
  <c r="N22" i="2"/>
  <c r="O22" i="2"/>
  <c r="L18" i="2"/>
  <c r="M18" i="2"/>
  <c r="N18" i="2"/>
  <c r="O18" i="2"/>
  <c r="F19" i="2" a="1"/>
  <c r="F19" i="2" s="1"/>
  <c r="G19" i="2" a="1"/>
  <c r="G19" i="2" s="1"/>
  <c r="H19" i="2" a="1"/>
  <c r="H19" i="2" s="1"/>
  <c r="D19" i="2"/>
  <c r="D20" i="2"/>
  <c r="D21" i="2"/>
  <c r="D22" i="2"/>
  <c r="E18" i="2"/>
  <c r="F18" i="2"/>
  <c r="G18" i="2"/>
  <c r="H18" i="2"/>
  <c r="L15" i="2"/>
  <c r="M15" i="2"/>
  <c r="O15" i="2"/>
  <c r="N15" i="2"/>
  <c r="L14" i="2"/>
  <c r="M14" i="2"/>
  <c r="O14" i="2"/>
  <c r="N14" i="2"/>
  <c r="L13" i="2"/>
  <c r="M13" i="2"/>
  <c r="O13" i="2"/>
  <c r="N13" i="2"/>
  <c r="N12" i="2"/>
  <c r="M12" i="2"/>
  <c r="O12" i="2"/>
  <c r="V23" i="1"/>
  <c r="Q149" i="1"/>
  <c r="P149" i="1"/>
  <c r="O149" i="1"/>
  <c r="N149" i="1"/>
  <c r="M149" i="1"/>
  <c r="L149" i="1"/>
  <c r="R140" i="1"/>
  <c r="R139" i="1"/>
  <c r="R138" i="1"/>
  <c r="R137" i="1"/>
  <c r="R136" i="1"/>
  <c r="R135" i="1"/>
  <c r="Z120" i="1"/>
  <c r="Y120" i="1"/>
  <c r="X120" i="1"/>
  <c r="W120" i="1"/>
  <c r="V120" i="1"/>
  <c r="U120" i="1"/>
  <c r="Q120" i="1"/>
  <c r="P120" i="1"/>
  <c r="O120" i="1"/>
  <c r="N120" i="1"/>
  <c r="M120" i="1"/>
  <c r="L120" i="1"/>
  <c r="G120" i="1"/>
  <c r="F120" i="1"/>
  <c r="E120" i="1"/>
  <c r="D120" i="1"/>
  <c r="AA111" i="1"/>
  <c r="R111" i="1"/>
  <c r="I111" i="1"/>
  <c r="AA110" i="1"/>
  <c r="R110" i="1"/>
  <c r="I110" i="1"/>
  <c r="C118" i="1" s="1"/>
  <c r="C120" i="1" s="1"/>
  <c r="AA109" i="1"/>
  <c r="R109" i="1"/>
  <c r="I109" i="1"/>
  <c r="AA108" i="1"/>
  <c r="R108" i="1"/>
  <c r="I108" i="1"/>
  <c r="AA107" i="1"/>
  <c r="R107" i="1"/>
  <c r="I107" i="1"/>
  <c r="AA106" i="1"/>
  <c r="R106" i="1"/>
  <c r="I106" i="1"/>
  <c r="AD97" i="1"/>
  <c r="AD95" i="1"/>
  <c r="AD94" i="1"/>
  <c r="AI90" i="1"/>
  <c r="AH90" i="1"/>
  <c r="AG90" i="1"/>
  <c r="AF90" i="1"/>
  <c r="AE90" i="1"/>
  <c r="AD90" i="1"/>
  <c r="Y90" i="1"/>
  <c r="X90" i="1"/>
  <c r="W90" i="1"/>
  <c r="Q90" i="1"/>
  <c r="P90" i="1"/>
  <c r="O90" i="1"/>
  <c r="N90" i="1"/>
  <c r="M90" i="1"/>
  <c r="L90" i="1"/>
  <c r="H90" i="1"/>
  <c r="G90" i="1"/>
  <c r="F90" i="1"/>
  <c r="E90" i="1"/>
  <c r="D90" i="1"/>
  <c r="C90" i="1"/>
  <c r="AJ81" i="1"/>
  <c r="AA81" i="1"/>
  <c r="R81" i="1"/>
  <c r="I81" i="1"/>
  <c r="AJ80" i="1"/>
  <c r="AA80" i="1"/>
  <c r="R80" i="1"/>
  <c r="I80" i="1"/>
  <c r="AJ79" i="1"/>
  <c r="AA79" i="1"/>
  <c r="R79" i="1"/>
  <c r="I79" i="1"/>
  <c r="AJ78" i="1"/>
  <c r="AA78" i="1"/>
  <c r="Z86" i="1" s="1"/>
  <c r="Z90" i="1" s="1"/>
  <c r="R78" i="1"/>
  <c r="I78" i="1"/>
  <c r="AJ77" i="1"/>
  <c r="AA77" i="1"/>
  <c r="R77" i="1"/>
  <c r="I77" i="1"/>
  <c r="AJ76" i="1"/>
  <c r="AA76" i="1"/>
  <c r="R76" i="1"/>
  <c r="I76" i="1"/>
  <c r="AP68" i="1"/>
  <c r="AP67" i="1"/>
  <c r="AP65" i="1"/>
  <c r="AP64" i="1"/>
  <c r="AR60" i="1"/>
  <c r="AQ60" i="1"/>
  <c r="AP60" i="1"/>
  <c r="AO60" i="1"/>
  <c r="AN60" i="1"/>
  <c r="AM60" i="1"/>
  <c r="AH60" i="1"/>
  <c r="AF60" i="1"/>
  <c r="X60" i="1"/>
  <c r="U60" i="1"/>
  <c r="Q60" i="1"/>
  <c r="P60" i="1"/>
  <c r="O60" i="1"/>
  <c r="O68" i="1" s="1"/>
  <c r="N60" i="1"/>
  <c r="M60" i="1"/>
  <c r="L60" i="1"/>
  <c r="H60" i="1"/>
  <c r="G60" i="1"/>
  <c r="F60" i="1"/>
  <c r="F68" i="1" s="1"/>
  <c r="E60" i="1"/>
  <c r="D60" i="1"/>
  <c r="C60" i="1"/>
  <c r="AS51" i="1"/>
  <c r="AJ51" i="1"/>
  <c r="AA51" i="1"/>
  <c r="R51" i="1"/>
  <c r="I51" i="1"/>
  <c r="AS50" i="1"/>
  <c r="AJ50" i="1"/>
  <c r="AA50" i="1"/>
  <c r="R50" i="1"/>
  <c r="I50" i="1"/>
  <c r="AS49" i="1"/>
  <c r="AJ49" i="1"/>
  <c r="AA49" i="1"/>
  <c r="Z57" i="1" s="1"/>
  <c r="Z60" i="1" s="1"/>
  <c r="R49" i="1"/>
  <c r="I49" i="1"/>
  <c r="AS48" i="1"/>
  <c r="AJ48" i="1"/>
  <c r="AI56" i="1" s="1"/>
  <c r="AI60" i="1" s="1"/>
  <c r="AA48" i="1"/>
  <c r="R48" i="1"/>
  <c r="I48" i="1"/>
  <c r="AS47" i="1"/>
  <c r="AJ47" i="1"/>
  <c r="AA47" i="1"/>
  <c r="R47" i="1"/>
  <c r="I47" i="1"/>
  <c r="AS46" i="1"/>
  <c r="AJ46" i="1"/>
  <c r="AA46" i="1"/>
  <c r="R46" i="1"/>
  <c r="I46" i="1"/>
  <c r="O31" i="1"/>
  <c r="T29" i="1"/>
  <c r="S29" i="1"/>
  <c r="R29" i="1"/>
  <c r="Q29" i="1"/>
  <c r="P29" i="1"/>
  <c r="O29" i="1"/>
  <c r="N29" i="1"/>
  <c r="T28" i="1"/>
  <c r="V27" i="1"/>
  <c r="T27" i="1"/>
  <c r="W26" i="1"/>
  <c r="V26" i="1"/>
  <c r="T26" i="1"/>
  <c r="X25" i="1"/>
  <c r="W25" i="1"/>
  <c r="V25" i="1"/>
  <c r="T25" i="1"/>
  <c r="Y24" i="1"/>
  <c r="X24" i="1"/>
  <c r="W24" i="1"/>
  <c r="V24" i="1"/>
  <c r="T24" i="1"/>
  <c r="Z23" i="1"/>
  <c r="Y23" i="1"/>
  <c r="X23" i="1"/>
  <c r="W23" i="1"/>
  <c r="T23" i="1"/>
  <c r="I20" i="1"/>
  <c r="G28" i="1" s="1"/>
  <c r="I19" i="1"/>
  <c r="C27" i="1" s="1"/>
  <c r="I18" i="1"/>
  <c r="H26" i="1" s="1"/>
  <c r="I17" i="1"/>
  <c r="H25" i="1" s="1"/>
  <c r="I16" i="1"/>
  <c r="H24" i="1" s="1"/>
  <c r="I15" i="1"/>
  <c r="H23" i="1" s="1"/>
  <c r="E19" i="2" l="1"/>
  <c r="L19" i="2" s="1"/>
  <c r="L22" i="2"/>
  <c r="L21" i="2"/>
  <c r="L20" i="2"/>
  <c r="U86" i="1"/>
  <c r="U90" i="1" s="1"/>
  <c r="V86" i="1"/>
  <c r="V90" i="1" s="1"/>
  <c r="D23" i="1"/>
  <c r="E23" i="1"/>
  <c r="F23" i="1"/>
  <c r="G23" i="1"/>
  <c r="V57" i="1"/>
  <c r="V60" i="1" s="1"/>
  <c r="W57" i="1"/>
  <c r="W60" i="1" s="1"/>
  <c r="Y57" i="1"/>
  <c r="Y60" i="1" s="1"/>
  <c r="C24" i="1"/>
  <c r="E24" i="1"/>
  <c r="F24" i="1"/>
  <c r="O64" i="1"/>
  <c r="AE56" i="1"/>
  <c r="AE60" i="1" s="1"/>
  <c r="D25" i="1"/>
  <c r="F25" i="1"/>
  <c r="H118" i="1"/>
  <c r="H120" i="1" s="1"/>
  <c r="E27" i="1"/>
  <c r="C25" i="1"/>
  <c r="AG56" i="1"/>
  <c r="AG60" i="1" s="1"/>
  <c r="AG64" i="1" s="1"/>
  <c r="G25" i="1"/>
  <c r="F64" i="1"/>
  <c r="F65" i="1"/>
  <c r="D27" i="1"/>
  <c r="F67" i="1"/>
  <c r="F27" i="1"/>
  <c r="AD56" i="1"/>
  <c r="AD60" i="1" s="1"/>
  <c r="H27" i="1"/>
  <c r="O67" i="1"/>
  <c r="C26" i="1"/>
  <c r="D26" i="1"/>
  <c r="E26" i="1"/>
  <c r="G26" i="1"/>
  <c r="G24" i="1"/>
  <c r="O65" i="1"/>
  <c r="C28" i="1"/>
  <c r="D28" i="1"/>
  <c r="E28" i="1"/>
  <c r="F28" i="1"/>
  <c r="E29" i="1" l="1"/>
  <c r="AG67" i="1"/>
  <c r="AG68" i="1"/>
  <c r="AG65" i="1"/>
  <c r="F29" i="1"/>
  <c r="G29" i="1"/>
  <c r="C29" i="1"/>
  <c r="D29" i="1"/>
  <c r="H29" i="1"/>
  <c r="H34" i="1" l="1"/>
  <c r="H35" i="1"/>
  <c r="H32" i="1"/>
  <c r="H33" i="1"/>
  <c r="H36" i="1"/>
  <c r="C39" i="1"/>
  <c r="AD70" i="1" l="1"/>
  <c r="U70" i="1"/>
  <c r="L70" i="1"/>
  <c r="C70" i="1"/>
  <c r="AM70" i="1"/>
  <c r="AD100" i="1" l="1"/>
  <c r="U100" i="1"/>
  <c r="L100" i="1"/>
  <c r="C100" i="1"/>
  <c r="U130" i="1" l="1"/>
  <c r="L130" i="1"/>
  <c r="C130" i="1"/>
  <c r="L151" i="1" l="1"/>
  <c r="C151" i="1"/>
  <c r="C16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<sst xmlns="http://schemas.openxmlformats.org/spreadsheetml/2006/main" count="814" uniqueCount="123">
  <si>
    <t>Først reduceres matricen - både rækker og søjler</t>
  </si>
  <si>
    <t>Solver</t>
  </si>
  <si>
    <t>Brug Simplex LP !!!!!</t>
  </si>
  <si>
    <t>(Ikke GRG Nonlinear)</t>
  </si>
  <si>
    <t>S</t>
  </si>
  <si>
    <t>G</t>
  </si>
  <si>
    <t>A</t>
  </si>
  <si>
    <t>K</t>
  </si>
  <si>
    <t>T</t>
  </si>
  <si>
    <t>F</t>
  </si>
  <si>
    <t>Min</t>
  </si>
  <si>
    <t xml:space="preserve">Antal ekstra bibetingelser = </t>
  </si>
  <si>
    <t>Sum</t>
  </si>
  <si>
    <t>Krydssummer</t>
  </si>
  <si>
    <t>(For at undgå loops)</t>
  </si>
  <si>
    <t>Tidsforbrug =</t>
  </si>
  <si>
    <t>Reduced cost</t>
  </si>
  <si>
    <t>Denne reducerede matrice er nu vores udgangspunkt</t>
  </si>
  <si>
    <t>S-G</t>
  </si>
  <si>
    <t>y=</t>
  </si>
  <si>
    <t>S-A</t>
  </si>
  <si>
    <t>S-K</t>
  </si>
  <si>
    <t>S-T</t>
  </si>
  <si>
    <t>S-F</t>
  </si>
  <si>
    <t>Den bedste rute var S-K, så den reducerede S-K matrix bliver vores nye udgangspunkt.</t>
  </si>
  <si>
    <t>S-K-G</t>
  </si>
  <si>
    <t>S-K-A</t>
  </si>
  <si>
    <t>S-K-T</t>
  </si>
  <si>
    <t>S-K-F</t>
  </si>
  <si>
    <t>Her ville man så skulle undersøge både S-K-G og S-K-A. For ikke at gøre der mere uoverskueligt, vælger vi S-K-A, som viser sig at være et godt valg.</t>
  </si>
  <si>
    <t>S-K-A-G</t>
  </si>
  <si>
    <t>S-K-A-T</t>
  </si>
  <si>
    <t>S-K-A-F</t>
  </si>
  <si>
    <t>S-K-A-T-G</t>
  </si>
  <si>
    <t>S-K-A-T-F</t>
  </si>
  <si>
    <t>Travelling Salesman - Branch &amp; Bound</t>
  </si>
  <si>
    <t>Så finder vi Reduced Cost for alle de mulige skridt videre fra S.</t>
  </si>
  <si>
    <t xml:space="preserve">Vi "blanker" rækker for </t>
  </si>
  <si>
    <t>Vi har da fundet den optimale rækkefølge</t>
  </si>
  <si>
    <t>S-K-A-T-G-F (-S)</t>
  </si>
  <si>
    <t>(n(n-1))/2</t>
  </si>
  <si>
    <t>= 15</t>
  </si>
  <si>
    <t>B</t>
  </si>
  <si>
    <t>C</t>
  </si>
  <si>
    <t>D</t>
  </si>
  <si>
    <t>For alle rækker finder vi den mindste værdi og markerer den</t>
  </si>
  <si>
    <t>Vi trækker den mindste værdi fra hver række</t>
  </si>
  <si>
    <t>Start tabel</t>
  </si>
  <si>
    <t>Step 1</t>
  </si>
  <si>
    <t>Step 2</t>
  </si>
  <si>
    <t>Step 3</t>
  </si>
  <si>
    <t>Vi trækker den mindste værdi fra hver søjle</t>
  </si>
  <si>
    <t>Step 4</t>
  </si>
  <si>
    <t>Vi tildækker alle nuller, med færrest muligt vandrette og lodrette streger</t>
  </si>
  <si>
    <t xml:space="preserve">Jeg skal bruge mindst n=4 steger. </t>
  </si>
  <si>
    <t xml:space="preserve">Vi har altså en optima løsning. </t>
  </si>
  <si>
    <t xml:space="preserve">Vi finder de optimale værdier hvor der er nuller. </t>
  </si>
  <si>
    <t>Vi kan vælge to løsninger:</t>
  </si>
  <si>
    <t>Step 5</t>
  </si>
  <si>
    <t>Fortolk:</t>
  </si>
  <si>
    <t>Step 6</t>
  </si>
  <si>
    <t>Beregn værdi af objektivfunktion</t>
  </si>
  <si>
    <t>Løsning 1</t>
  </si>
  <si>
    <t>Løsning 2</t>
  </si>
  <si>
    <t>Vi opstiller vores matrix</t>
  </si>
  <si>
    <t>D1</t>
  </si>
  <si>
    <t>D2</t>
  </si>
  <si>
    <t>D3</t>
  </si>
  <si>
    <t>D4</t>
  </si>
  <si>
    <t>x11</t>
  </si>
  <si>
    <t>x12</t>
  </si>
  <si>
    <t>x13</t>
  </si>
  <si>
    <t>x14</t>
  </si>
  <si>
    <t>x21</t>
  </si>
  <si>
    <t>x22</t>
  </si>
  <si>
    <t>x23</t>
  </si>
  <si>
    <t>x24</t>
  </si>
  <si>
    <t>x31</t>
  </si>
  <si>
    <t>x32</t>
  </si>
  <si>
    <t>x33</t>
  </si>
  <si>
    <t>x34</t>
  </si>
  <si>
    <t>Step 2:</t>
  </si>
  <si>
    <t>Vi starter med i=1 og j=1</t>
  </si>
  <si>
    <t>si</t>
  </si>
  <si>
    <t>Vi vælger x11=min(5,3)=3, og trækker denne værdi fra i supply and demand</t>
  </si>
  <si>
    <t>Step 3:</t>
  </si>
  <si>
    <t>Eftersom s1 !=0 sætter vi j=j+1 og fortsætter</t>
  </si>
  <si>
    <t>dj</t>
  </si>
  <si>
    <t>i=1 og j=2 og min(3,2)=2 dermed er x12=2 og d2=3-2=1 og s1=2-2=0</t>
  </si>
  <si>
    <t>Step 4:</t>
  </si>
  <si>
    <t>Step 4: i=2 og j=2</t>
  </si>
  <si>
    <t>Step 5: i=2 og j=3</t>
  </si>
  <si>
    <t>Step 6: i=3 og j=3</t>
  </si>
  <si>
    <t>Step 7: i=3 og j=4</t>
  </si>
  <si>
    <t>Step 8: fortolk</t>
  </si>
  <si>
    <t>Vi er nu færdige. Alle steder hvor der ikke er tal, bliver variablen sat til at være nul, alle andre steder, ser vi hvad variabel værdien bliver.</t>
  </si>
  <si>
    <t>Vi ser at:</t>
  </si>
  <si>
    <t>x11=</t>
  </si>
  <si>
    <t>x12=</t>
  </si>
  <si>
    <t>x22=</t>
  </si>
  <si>
    <t>x23=</t>
  </si>
  <si>
    <t>x33=</t>
  </si>
  <si>
    <t>x34=</t>
  </si>
  <si>
    <t xml:space="preserve">S+B14:O51tep 1: </t>
  </si>
  <si>
    <t>i/j</t>
  </si>
  <si>
    <t>Step 2: beregn alle delta som er næst minds minus minst i række og søjle for c matricen</t>
  </si>
  <si>
    <t>Step 1: opstil startmatricen og c matricen</t>
  </si>
  <si>
    <t>Delta i</t>
  </si>
  <si>
    <t>Delta j</t>
  </si>
  <si>
    <t>Den mindste delta er i tredje søjle, så vi vælge mindste omkostning i denne søjle i c matricen.</t>
  </si>
  <si>
    <t>Derefter sætter vi denne position lig den mindste af si og dj som jo er 2</t>
  </si>
  <si>
    <t>Derefter fjerne vi række 2 og trækker fra i efterspørgslen og gentager</t>
  </si>
  <si>
    <t>Vi ser at der kun er en måde at fordele efterspørgslen, så det gør vi</t>
  </si>
  <si>
    <t>Dermed har vi at</t>
  </si>
  <si>
    <t>Her er i alt 6 basisvariable som er lige præcis antallet vi leder efter. Den ene af dem er nul og alle andre er også nul.</t>
  </si>
  <si>
    <t>Objektfunktionen bliver</t>
  </si>
  <si>
    <t>Step 1: Opstil tabel</t>
  </si>
  <si>
    <t>Step 2: start med først søjle, og find den mindste omkostning i denne</t>
  </si>
  <si>
    <t>Sæt x12 lig med minimum af udbud og efterspørgsel blandt søjlen og rækken</t>
  </si>
  <si>
    <t>Fratræk denne værdi i søjle og række</t>
  </si>
  <si>
    <t>Step 3: Eftersom si=0 fjerne vi denne.</t>
  </si>
  <si>
    <t xml:space="preserve">Vi får altså at </t>
  </si>
  <si>
    <t>Og alle andre variable skal være nul. Her bliver objektfunktionen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</si>
</sst>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3" borderId="0" xfId="0" applyFill="1"/>
    <xf numFmtId="0" fontId="0" fillId="0" borderId="10" xfId="0" applyBorder="1"/>
    <xf numFmtId="0" fontId="0" fillId="2" borderId="7" xfId="0" applyFill="1" applyBorder="1"/>
    <xf numFmtId="0" fontId="0" fillId="2" borderId="11" xfId="0" applyFill="1" applyBorder="1"/>
    <xf numFmtId="0" fontId="0" fillId="0" borderId="12" xfId="0" applyBorder="1"/>
    <xf numFmtId="0" fontId="0" fillId="3" borderId="13" xfId="0" applyFill="1" applyBorder="1"/>
    <xf numFmtId="0" fontId="0" fillId="4" borderId="0" xfId="0" applyFill="1"/>
    <xf numFmtId="0" fontId="0" fillId="2" borderId="14" xfId="0" applyFill="1" applyBorder="1" applyAlignment="1">
      <alignment horizontal="left"/>
    </xf>
    <xf numFmtId="0" fontId="0" fillId="2" borderId="14" xfId="0" applyFill="1" applyBorder="1"/>
    <xf numFmtId="0" fontId="0" fillId="5" borderId="15" xfId="0" applyFill="1" applyBorder="1"/>
    <xf numFmtId="0" fontId="0" fillId="0" borderId="15" xfId="0" applyBorder="1"/>
    <xf numFmtId="0" fontId="0" fillId="0" borderId="16" xfId="0" applyBorder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3" borderId="10" xfId="0" applyFill="1" applyBorder="1"/>
    <xf numFmtId="0" fontId="0" fillId="3" borderId="12" xfId="0" applyFill="1" applyBorder="1"/>
    <xf numFmtId="0" fontId="0" fillId="8" borderId="0" xfId="0" applyFill="1"/>
    <xf numFmtId="0" fontId="1" fillId="0" borderId="0" xfId="0" applyFont="1"/>
    <xf numFmtId="0" fontId="0" fillId="0" borderId="0" xfId="0" quotePrefix="1"/>
    <xf numFmtId="0" fontId="0" fillId="9" borderId="0" xfId="0" applyFill="1"/>
    <xf numFmtId="0" fontId="0" fillId="0" borderId="17" xfId="0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/>
    </xf>
    <xf numFmtId="0" fontId="0" fillId="10" borderId="17" xfId="0" applyFill="1" applyBorder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left"/>
    </xf>
    <xf numFmtId="0" fontId="0" fillId="11" borderId="0" xfId="0" applyFill="1" applyBorder="1" applyAlignment="1">
      <alignment horizontal="center"/>
    </xf>
    <xf numFmtId="0" fontId="0" fillId="11" borderId="0" xfId="0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1" borderId="43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47" xfId="0" applyFill="1" applyBorder="1" applyAlignment="1">
      <alignment horizontal="center"/>
    </xf>
    <xf numFmtId="0" fontId="0" fillId="11" borderId="39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31" xfId="0" applyFill="1" applyBorder="1" applyAlignment="1">
      <alignment horizontal="center"/>
    </xf>
    <xf numFmtId="0" fontId="0" fillId="11" borderId="32" xfId="0" applyFill="1" applyBorder="1" applyAlignment="1">
      <alignment horizontal="center"/>
    </xf>
    <xf numFmtId="0" fontId="0" fillId="11" borderId="33" xfId="0" applyFill="1" applyBorder="1" applyAlignment="1">
      <alignment horizontal="center"/>
    </xf>
    <xf numFmtId="0" fontId="0" fillId="11" borderId="46" xfId="0" applyFill="1" applyBorder="1" applyAlignment="1">
      <alignment horizontal="center"/>
    </xf>
    <xf numFmtId="0" fontId="0" fillId="11" borderId="34" xfId="0" applyFill="1" applyBorder="1" applyAlignment="1">
      <alignment horizontal="center"/>
    </xf>
    <xf numFmtId="0" fontId="0" fillId="11" borderId="36" xfId="0" applyFill="1" applyBorder="1" applyAlignment="1">
      <alignment horizontal="center"/>
    </xf>
    <xf numFmtId="0" fontId="0" fillId="11" borderId="42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37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0" fillId="10" borderId="43" xfId="0" applyFill="1" applyBorder="1" applyAlignment="1">
      <alignment horizontal="center"/>
    </xf>
    <xf numFmtId="0" fontId="0" fillId="10" borderId="44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40" xfId="0" applyFill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582706</xdr:colOff>
      <xdr:row>2</xdr:row>
      <xdr:rowOff>179293</xdr:rowOff>
    </xdr:from>
    <xdr:to>
      <xdr:col>3</xdr:col>
      <xdr:colOff>450759</xdr:colOff>
      <xdr:row>9</xdr:row>
      <xdr:rowOff>93742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BB9D51-EF84-F27F-7B7C-72CDDE210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706" y="728381"/>
          <a:ext cx="2019582" cy="1247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6350</xdr:rowOff>
    </xdr:from>
    <xdr:to>
      <xdr:col>10</xdr:col>
      <xdr:colOff>851</xdr:colOff>
      <xdr:row>10</xdr:row>
      <xdr:rowOff>136800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6CC24A-CCCE-B2E6-B2BA-DC2C16F67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50"/>
          <a:ext cx="6096851" cy="197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0</xdr:row>
      <xdr:rowOff>0</xdr:rowOff>
    </xdr:from>
    <xdr:to>
      <xdr:col>13</xdr:col>
      <xdr:colOff>522541</xdr:colOff>
      <xdr:row>5</xdr:row>
      <xdr:rowOff>148872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8BCA95-C0AB-417C-8F3C-02022DE39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0" y="0"/>
          <a:ext cx="3303841" cy="10696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255841</xdr:colOff>
      <xdr:row>5</xdr:row>
      <xdr:rowOff>148872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21938F-7CBA-48C3-837E-68B46F297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03841" cy="10696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B8B6-F108-41F2-ACF2-5D7C36402E38}">
  <dimension ref="B2:AS163"/>
  <sheetViews>
    <sheetView topLeftCell="A2" zoomScale="49" zoomScaleNormal="85" workbookViewId="0">
      <selection activeCell="I15" sqref="I15"/>
    </sheetView>
  </sheetViews>
  <sheetFormatPr defaultRowHeight="14.5" x14ac:dyDescent="0.35"/>
  <cols>
    <col min="2" max="2" width="14.1796875" customWidth="1"/>
    <col min="11" max="11" width="11.81640625" bestFit="1" customWidth="1"/>
  </cols>
  <sheetData>
    <row r="2" spans="2:26" ht="28.5" x14ac:dyDescent="0.65">
      <c r="B2" s="30" t="s">
        <v>35</v>
      </c>
    </row>
    <row r="12" spans="2:26" ht="15" thickBot="1" x14ac:dyDescent="0.4">
      <c r="B12" t="s">
        <v>0</v>
      </c>
      <c r="M12" t="s">
        <v>1</v>
      </c>
      <c r="O12" t="s">
        <v>2</v>
      </c>
      <c r="R12" t="s">
        <v>3</v>
      </c>
    </row>
    <row r="13" spans="2:26" x14ac:dyDescent="0.35"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spans="2:26" x14ac:dyDescent="0.35">
      <c r="B14" s="4"/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6" t="s">
        <v>9</v>
      </c>
      <c r="I14" s="7" t="s">
        <v>10</v>
      </c>
      <c r="M14" s="8"/>
      <c r="N14" s="7" t="s">
        <v>4</v>
      </c>
      <c r="O14" s="7" t="s">
        <v>5</v>
      </c>
      <c r="P14" s="7" t="s">
        <v>6</v>
      </c>
      <c r="Q14" s="7" t="s">
        <v>7</v>
      </c>
      <c r="R14" s="7" t="s">
        <v>8</v>
      </c>
      <c r="S14" s="7" t="s">
        <v>9</v>
      </c>
      <c r="Z14" s="9"/>
    </row>
    <row r="15" spans="2:26" x14ac:dyDescent="0.35">
      <c r="B15" s="10" t="s">
        <v>4</v>
      </c>
      <c r="C15" s="11"/>
      <c r="D15">
        <v>10</v>
      </c>
      <c r="E15">
        <v>8</v>
      </c>
      <c r="F15">
        <v>6</v>
      </c>
      <c r="G15">
        <v>12</v>
      </c>
      <c r="H15" s="12">
        <v>20</v>
      </c>
      <c r="I15">
        <f>MIN(D15:H15)</f>
        <v>6</v>
      </c>
      <c r="M15" s="13" t="s">
        <v>4</v>
      </c>
      <c r="O15">
        <v>10</v>
      </c>
      <c r="P15">
        <v>8</v>
      </c>
      <c r="Q15">
        <v>6</v>
      </c>
      <c r="R15">
        <v>12</v>
      </c>
      <c r="S15">
        <v>20</v>
      </c>
      <c r="Z15" s="9"/>
    </row>
    <row r="16" spans="2:26" x14ac:dyDescent="0.35">
      <c r="B16" s="10" t="s">
        <v>5</v>
      </c>
      <c r="C16">
        <v>8</v>
      </c>
      <c r="D16" s="11"/>
      <c r="E16">
        <v>12</v>
      </c>
      <c r="F16">
        <v>10</v>
      </c>
      <c r="G16">
        <v>7</v>
      </c>
      <c r="H16" s="12">
        <v>10</v>
      </c>
      <c r="I16">
        <f>MIN(C16:H16)</f>
        <v>7</v>
      </c>
      <c r="M16" s="13" t="s">
        <v>5</v>
      </c>
      <c r="N16">
        <v>8</v>
      </c>
      <c r="P16">
        <v>12</v>
      </c>
      <c r="Q16">
        <v>10</v>
      </c>
      <c r="R16">
        <v>7</v>
      </c>
      <c r="S16">
        <v>10</v>
      </c>
      <c r="Z16" s="9"/>
    </row>
    <row r="17" spans="2:26" x14ac:dyDescent="0.35">
      <c r="B17" s="10" t="s">
        <v>6</v>
      </c>
      <c r="C17">
        <v>15</v>
      </c>
      <c r="D17">
        <v>7</v>
      </c>
      <c r="E17" s="11"/>
      <c r="F17">
        <v>15</v>
      </c>
      <c r="G17">
        <v>3</v>
      </c>
      <c r="H17" s="12">
        <v>8</v>
      </c>
      <c r="I17">
        <f t="shared" ref="I17:I20" si="0">MIN(C17:H17)</f>
        <v>3</v>
      </c>
      <c r="M17" s="13" t="s">
        <v>6</v>
      </c>
      <c r="N17">
        <v>15</v>
      </c>
      <c r="O17">
        <v>7</v>
      </c>
      <c r="Q17">
        <v>15</v>
      </c>
      <c r="R17">
        <v>3</v>
      </c>
      <c r="S17">
        <v>8</v>
      </c>
      <c r="Z17" s="9"/>
    </row>
    <row r="18" spans="2:26" x14ac:dyDescent="0.35">
      <c r="B18" s="10" t="s">
        <v>7</v>
      </c>
      <c r="C18">
        <v>7</v>
      </c>
      <c r="D18">
        <v>9</v>
      </c>
      <c r="E18">
        <v>9</v>
      </c>
      <c r="F18" s="11"/>
      <c r="G18">
        <v>9</v>
      </c>
      <c r="H18" s="12">
        <v>13</v>
      </c>
      <c r="I18">
        <f t="shared" si="0"/>
        <v>7</v>
      </c>
      <c r="M18" s="13" t="s">
        <v>7</v>
      </c>
      <c r="N18">
        <v>7</v>
      </c>
      <c r="O18">
        <v>9</v>
      </c>
      <c r="P18">
        <v>9</v>
      </c>
      <c r="R18">
        <v>9</v>
      </c>
      <c r="S18">
        <v>13</v>
      </c>
      <c r="Z18" s="9"/>
    </row>
    <row r="19" spans="2:26" x14ac:dyDescent="0.35">
      <c r="B19" s="10" t="s">
        <v>8</v>
      </c>
      <c r="C19">
        <v>9</v>
      </c>
      <c r="D19">
        <v>5</v>
      </c>
      <c r="E19">
        <v>5</v>
      </c>
      <c r="F19">
        <v>11</v>
      </c>
      <c r="G19" s="11"/>
      <c r="H19" s="12">
        <v>12</v>
      </c>
      <c r="I19">
        <f t="shared" si="0"/>
        <v>5</v>
      </c>
      <c r="M19" s="13" t="s">
        <v>8</v>
      </c>
      <c r="N19">
        <v>9</v>
      </c>
      <c r="O19">
        <v>5</v>
      </c>
      <c r="P19">
        <v>5</v>
      </c>
      <c r="Q19">
        <v>11</v>
      </c>
      <c r="S19">
        <v>12</v>
      </c>
      <c r="U19" t="s">
        <v>11</v>
      </c>
      <c r="X19" s="31" t="s">
        <v>40</v>
      </c>
      <c r="Y19" s="31" t="s">
        <v>41</v>
      </c>
      <c r="Z19" s="9"/>
    </row>
    <row r="20" spans="2:26" x14ac:dyDescent="0.35">
      <c r="B20" s="14" t="s">
        <v>9</v>
      </c>
      <c r="C20" s="15">
        <v>10</v>
      </c>
      <c r="D20" s="15">
        <v>12</v>
      </c>
      <c r="E20" s="15">
        <v>10</v>
      </c>
      <c r="F20" s="15">
        <v>12</v>
      </c>
      <c r="G20" s="15">
        <v>12</v>
      </c>
      <c r="H20" s="16"/>
      <c r="I20">
        <f t="shared" si="0"/>
        <v>10</v>
      </c>
      <c r="M20" s="13" t="s">
        <v>9</v>
      </c>
      <c r="N20">
        <v>10</v>
      </c>
      <c r="O20">
        <v>12</v>
      </c>
      <c r="P20">
        <v>10</v>
      </c>
      <c r="Q20">
        <v>12</v>
      </c>
      <c r="R20">
        <v>12</v>
      </c>
      <c r="Z20" s="9"/>
    </row>
    <row r="21" spans="2:26" x14ac:dyDescent="0.35">
      <c r="M21" s="8"/>
      <c r="Z21" s="9"/>
    </row>
    <row r="22" spans="2:26" x14ac:dyDescent="0.35">
      <c r="B22" s="4"/>
      <c r="C22" s="5" t="s">
        <v>4</v>
      </c>
      <c r="D22" s="5" t="s">
        <v>5</v>
      </c>
      <c r="E22" s="5" t="s">
        <v>6</v>
      </c>
      <c r="F22" s="5" t="s">
        <v>7</v>
      </c>
      <c r="G22" s="5" t="s">
        <v>8</v>
      </c>
      <c r="H22" s="6" t="s">
        <v>9</v>
      </c>
      <c r="M22" s="8"/>
      <c r="N22" s="7" t="s">
        <v>4</v>
      </c>
      <c r="O22" s="7" t="s">
        <v>5</v>
      </c>
      <c r="P22" s="7" t="s">
        <v>6</v>
      </c>
      <c r="Q22" s="7" t="s">
        <v>7</v>
      </c>
      <c r="R22" s="7" t="s">
        <v>8</v>
      </c>
      <c r="S22" s="7" t="s">
        <v>9</v>
      </c>
      <c r="T22" s="7" t="s">
        <v>12</v>
      </c>
      <c r="V22" s="7" t="s">
        <v>13</v>
      </c>
      <c r="W22" s="7"/>
      <c r="X22" t="s">
        <v>14</v>
      </c>
      <c r="Z22" s="9"/>
    </row>
    <row r="23" spans="2:26" x14ac:dyDescent="0.35">
      <c r="B23" s="10" t="s">
        <v>4</v>
      </c>
      <c r="C23" s="11"/>
      <c r="D23">
        <f>D15-$I$15</f>
        <v>4</v>
      </c>
      <c r="E23">
        <f t="shared" ref="E23:H23" si="1">E15-$I$15</f>
        <v>2</v>
      </c>
      <c r="F23">
        <f t="shared" si="1"/>
        <v>0</v>
      </c>
      <c r="G23">
        <f t="shared" si="1"/>
        <v>6</v>
      </c>
      <c r="H23" s="12">
        <f t="shared" si="1"/>
        <v>14</v>
      </c>
      <c r="M23" s="13" t="s">
        <v>4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 s="11">
        <f>SUM(N23:S23)</f>
        <v>1</v>
      </c>
      <c r="V23">
        <f>O23+N24</f>
        <v>0</v>
      </c>
      <c r="W23">
        <f>P24+O25</f>
        <v>0</v>
      </c>
      <c r="X23">
        <f>Q25+P26</f>
        <v>1</v>
      </c>
      <c r="Y23">
        <f>R26+Q27</f>
        <v>0</v>
      </c>
      <c r="Z23" s="9">
        <f>S27+R28</f>
        <v>0</v>
      </c>
    </row>
    <row r="24" spans="2:26" x14ac:dyDescent="0.35">
      <c r="B24" s="10" t="s">
        <v>5</v>
      </c>
      <c r="C24">
        <f>C16-$I$16</f>
        <v>1</v>
      </c>
      <c r="D24" s="11"/>
      <c r="E24">
        <f t="shared" ref="E24:H24" si="2">E16-$I$16</f>
        <v>5</v>
      </c>
      <c r="F24">
        <f t="shared" si="2"/>
        <v>3</v>
      </c>
      <c r="G24">
        <f t="shared" si="2"/>
        <v>0</v>
      </c>
      <c r="H24" s="12">
        <f t="shared" si="2"/>
        <v>3</v>
      </c>
      <c r="M24" s="13" t="s">
        <v>5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 s="11">
        <f t="shared" ref="T24:T28" si="3">SUM(N24:S24)</f>
        <v>1</v>
      </c>
      <c r="V24">
        <f>P23+N25</f>
        <v>0</v>
      </c>
      <c r="W24">
        <f>Q24+O26</f>
        <v>0</v>
      </c>
      <c r="X24">
        <f>R25+P27</f>
        <v>1</v>
      </c>
      <c r="Y24">
        <f>S26+Q28</f>
        <v>0</v>
      </c>
      <c r="Z24" s="9"/>
    </row>
    <row r="25" spans="2:26" x14ac:dyDescent="0.35">
      <c r="B25" s="10" t="s">
        <v>6</v>
      </c>
      <c r="C25">
        <f>C17-$I$17</f>
        <v>12</v>
      </c>
      <c r="D25">
        <f>D17-$I$17</f>
        <v>4</v>
      </c>
      <c r="E25" s="11"/>
      <c r="F25">
        <f t="shared" ref="F25:H25" si="4">F17-$I$17</f>
        <v>12</v>
      </c>
      <c r="G25">
        <f t="shared" si="4"/>
        <v>0</v>
      </c>
      <c r="H25" s="12">
        <f t="shared" si="4"/>
        <v>5</v>
      </c>
      <c r="M25" s="13" t="s">
        <v>6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 s="11">
        <f t="shared" si="3"/>
        <v>1</v>
      </c>
      <c r="V25">
        <f>Q23+N26</f>
        <v>1</v>
      </c>
      <c r="W25">
        <f>R24+O27</f>
        <v>1</v>
      </c>
      <c r="X25">
        <f>S25+P28</f>
        <v>0</v>
      </c>
      <c r="Z25" s="9"/>
    </row>
    <row r="26" spans="2:26" x14ac:dyDescent="0.35">
      <c r="B26" s="10" t="s">
        <v>7</v>
      </c>
      <c r="C26">
        <f>C18-$I$18</f>
        <v>0</v>
      </c>
      <c r="D26">
        <f t="shared" ref="D26:E26" si="5">D18-$I$18</f>
        <v>2</v>
      </c>
      <c r="E26">
        <f t="shared" si="5"/>
        <v>2</v>
      </c>
      <c r="F26" s="11"/>
      <c r="G26">
        <f t="shared" ref="G26:H26" si="6">G18-$I$18</f>
        <v>2</v>
      </c>
      <c r="H26" s="12">
        <f t="shared" si="6"/>
        <v>6</v>
      </c>
      <c r="M26" s="13" t="s">
        <v>7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 s="11">
        <f t="shared" si="3"/>
        <v>1</v>
      </c>
      <c r="V26">
        <f>R23+N27</f>
        <v>0</v>
      </c>
      <c r="W26">
        <f>S24+O28</f>
        <v>1</v>
      </c>
      <c r="Z26" s="9"/>
    </row>
    <row r="27" spans="2:26" x14ac:dyDescent="0.35">
      <c r="B27" s="10" t="s">
        <v>8</v>
      </c>
      <c r="C27">
        <f>C19-$I$19</f>
        <v>4</v>
      </c>
      <c r="D27">
        <f t="shared" ref="D27:F27" si="7">D19-$I$19</f>
        <v>0</v>
      </c>
      <c r="E27">
        <f t="shared" si="7"/>
        <v>0</v>
      </c>
      <c r="F27">
        <f t="shared" si="7"/>
        <v>6</v>
      </c>
      <c r="G27" s="11"/>
      <c r="H27" s="12">
        <f>H19-$I$19</f>
        <v>7</v>
      </c>
      <c r="M27" s="13" t="s">
        <v>8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 s="11">
        <f t="shared" si="3"/>
        <v>1</v>
      </c>
      <c r="V27">
        <f>S23+N28</f>
        <v>1</v>
      </c>
      <c r="Z27" s="9"/>
    </row>
    <row r="28" spans="2:26" x14ac:dyDescent="0.35">
      <c r="B28" s="14" t="s">
        <v>9</v>
      </c>
      <c r="C28" s="15">
        <f>C20-$I$20</f>
        <v>0</v>
      </c>
      <c r="D28" s="15">
        <f t="shared" ref="D28:G28" si="8">D20-$I$20</f>
        <v>2</v>
      </c>
      <c r="E28" s="15">
        <f t="shared" si="8"/>
        <v>0</v>
      </c>
      <c r="F28" s="15">
        <f t="shared" si="8"/>
        <v>2</v>
      </c>
      <c r="G28" s="15">
        <f t="shared" si="8"/>
        <v>2</v>
      </c>
      <c r="H28" s="16"/>
      <c r="M28" s="13" t="s">
        <v>9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 s="11">
        <f t="shared" si="3"/>
        <v>1</v>
      </c>
      <c r="Z28" s="9"/>
    </row>
    <row r="29" spans="2:26" x14ac:dyDescent="0.35">
      <c r="B29" s="10" t="s">
        <v>10</v>
      </c>
      <c r="C29">
        <f>MIN(C23:C28)</f>
        <v>0</v>
      </c>
      <c r="D29">
        <f>MIN(D23:D28)</f>
        <v>0</v>
      </c>
      <c r="E29">
        <f t="shared" ref="E29:H29" si="9">MIN(E23:E28)</f>
        <v>0</v>
      </c>
      <c r="F29">
        <f t="shared" si="9"/>
        <v>0</v>
      </c>
      <c r="G29">
        <f t="shared" si="9"/>
        <v>0</v>
      </c>
      <c r="H29" s="17">
        <f t="shared" si="9"/>
        <v>3</v>
      </c>
      <c r="M29" s="13" t="s">
        <v>12</v>
      </c>
      <c r="N29" s="11">
        <f t="shared" ref="N29:R29" si="10">SUM(N23:N28)</f>
        <v>1</v>
      </c>
      <c r="O29" s="11">
        <f t="shared" si="10"/>
        <v>1</v>
      </c>
      <c r="P29" s="11">
        <f t="shared" si="10"/>
        <v>1</v>
      </c>
      <c r="Q29" s="11">
        <f t="shared" si="10"/>
        <v>1</v>
      </c>
      <c r="R29" s="11">
        <f t="shared" si="10"/>
        <v>1</v>
      </c>
      <c r="S29" s="11">
        <f>SUM(S23:S28)</f>
        <v>1</v>
      </c>
      <c r="T29" s="11">
        <f>N23+O24+P25+Q26+R27+S28</f>
        <v>0</v>
      </c>
      <c r="Z29" s="9"/>
    </row>
    <row r="30" spans="2:26" x14ac:dyDescent="0.35">
      <c r="M30" s="8"/>
      <c r="Z30" s="9"/>
    </row>
    <row r="31" spans="2:26" ht="15" thickBot="1" x14ac:dyDescent="0.4">
      <c r="B31" s="4"/>
      <c r="C31" s="5" t="s">
        <v>4</v>
      </c>
      <c r="D31" s="5" t="s">
        <v>5</v>
      </c>
      <c r="E31" s="5" t="s">
        <v>6</v>
      </c>
      <c r="F31" s="5" t="s">
        <v>7</v>
      </c>
      <c r="G31" s="5" t="s">
        <v>8</v>
      </c>
      <c r="H31" s="6" t="s">
        <v>9</v>
      </c>
      <c r="M31" s="18" t="s">
        <v>15</v>
      </c>
      <c r="N31" s="19"/>
      <c r="O31" s="20">
        <f>SUMPRODUCT(N23:S28,N15:S20)</f>
        <v>43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2"/>
    </row>
    <row r="32" spans="2:26" x14ac:dyDescent="0.35">
      <c r="B32" s="10" t="s">
        <v>4</v>
      </c>
      <c r="C32" s="11"/>
      <c r="D32">
        <v>4</v>
      </c>
      <c r="E32">
        <v>2</v>
      </c>
      <c r="F32">
        <v>0</v>
      </c>
      <c r="G32">
        <v>6</v>
      </c>
      <c r="H32" s="12">
        <f>H23-$H$29</f>
        <v>11</v>
      </c>
    </row>
    <row r="33" spans="2:45" x14ac:dyDescent="0.35">
      <c r="B33" s="10" t="s">
        <v>5</v>
      </c>
      <c r="C33">
        <v>1</v>
      </c>
      <c r="D33" s="11"/>
      <c r="E33">
        <v>5</v>
      </c>
      <c r="F33">
        <v>3</v>
      </c>
      <c r="G33">
        <v>0</v>
      </c>
      <c r="H33" s="12">
        <f t="shared" ref="H33:H36" si="11">H24-$H$29</f>
        <v>0</v>
      </c>
    </row>
    <row r="34" spans="2:45" x14ac:dyDescent="0.35">
      <c r="B34" s="10" t="s">
        <v>6</v>
      </c>
      <c r="C34">
        <v>12</v>
      </c>
      <c r="D34">
        <v>4</v>
      </c>
      <c r="E34" s="11"/>
      <c r="F34">
        <v>12</v>
      </c>
      <c r="G34">
        <v>0</v>
      </c>
      <c r="H34" s="12">
        <f t="shared" si="11"/>
        <v>2</v>
      </c>
    </row>
    <row r="35" spans="2:45" x14ac:dyDescent="0.35">
      <c r="B35" s="10" t="s">
        <v>7</v>
      </c>
      <c r="C35">
        <v>0</v>
      </c>
      <c r="D35">
        <v>2</v>
      </c>
      <c r="E35">
        <v>2</v>
      </c>
      <c r="F35" s="11"/>
      <c r="G35">
        <v>2</v>
      </c>
      <c r="H35" s="12">
        <f t="shared" si="11"/>
        <v>3</v>
      </c>
    </row>
    <row r="36" spans="2:45" x14ac:dyDescent="0.35">
      <c r="B36" s="10" t="s">
        <v>8</v>
      </c>
      <c r="C36">
        <v>4</v>
      </c>
      <c r="D36">
        <v>0</v>
      </c>
      <c r="E36">
        <v>0</v>
      </c>
      <c r="F36">
        <v>6</v>
      </c>
      <c r="G36" s="11"/>
      <c r="H36" s="12">
        <f t="shared" si="11"/>
        <v>4</v>
      </c>
    </row>
    <row r="37" spans="2:45" x14ac:dyDescent="0.35">
      <c r="B37" s="14" t="s">
        <v>9</v>
      </c>
      <c r="C37" s="15">
        <v>0</v>
      </c>
      <c r="D37" s="15">
        <v>2</v>
      </c>
      <c r="E37" s="15">
        <v>0</v>
      </c>
      <c r="F37" s="15">
        <v>2</v>
      </c>
      <c r="G37" s="15">
        <v>2</v>
      </c>
      <c r="H37" s="16"/>
    </row>
    <row r="39" spans="2:45" x14ac:dyDescent="0.35">
      <c r="B39" s="23" t="s">
        <v>16</v>
      </c>
      <c r="C39" s="24">
        <f>SUM(C29:H29,I15:I20)</f>
        <v>41</v>
      </c>
      <c r="E39" t="s">
        <v>17</v>
      </c>
    </row>
    <row r="41" spans="2:45" x14ac:dyDescent="0.35">
      <c r="B41" t="s">
        <v>36</v>
      </c>
    </row>
    <row r="42" spans="2:45" x14ac:dyDescent="0.35">
      <c r="B42" t="s">
        <v>37</v>
      </c>
    </row>
    <row r="44" spans="2:45" x14ac:dyDescent="0.35">
      <c r="B44" t="s">
        <v>18</v>
      </c>
      <c r="C44" s="25" t="s">
        <v>19</v>
      </c>
      <c r="D44" s="26">
        <v>4</v>
      </c>
      <c r="K44" t="s">
        <v>20</v>
      </c>
      <c r="L44" s="25" t="s">
        <v>19</v>
      </c>
      <c r="M44" s="26">
        <v>2</v>
      </c>
      <c r="T44" t="s">
        <v>21</v>
      </c>
      <c r="U44" s="25" t="s">
        <v>19</v>
      </c>
      <c r="V44" s="26">
        <v>0</v>
      </c>
      <c r="AC44" t="s">
        <v>22</v>
      </c>
      <c r="AD44" s="25" t="s">
        <v>19</v>
      </c>
      <c r="AE44" s="26">
        <v>6</v>
      </c>
      <c r="AL44" t="s">
        <v>23</v>
      </c>
      <c r="AM44" s="25" t="s">
        <v>19</v>
      </c>
      <c r="AN44" s="26">
        <v>11</v>
      </c>
    </row>
    <row r="45" spans="2:45" x14ac:dyDescent="0.35">
      <c r="B45" s="4"/>
      <c r="C45" s="5" t="s">
        <v>4</v>
      </c>
      <c r="D45" s="5" t="s">
        <v>5</v>
      </c>
      <c r="E45" s="5" t="s">
        <v>6</v>
      </c>
      <c r="F45" s="5" t="s">
        <v>7</v>
      </c>
      <c r="G45" s="5" t="s">
        <v>8</v>
      </c>
      <c r="H45" s="6" t="s">
        <v>9</v>
      </c>
      <c r="I45" s="7" t="s">
        <v>10</v>
      </c>
      <c r="K45" s="4"/>
      <c r="L45" s="5" t="s">
        <v>4</v>
      </c>
      <c r="M45" s="5" t="s">
        <v>5</v>
      </c>
      <c r="N45" s="5" t="s">
        <v>6</v>
      </c>
      <c r="O45" s="5" t="s">
        <v>7</v>
      </c>
      <c r="P45" s="5" t="s">
        <v>8</v>
      </c>
      <c r="Q45" s="6" t="s">
        <v>9</v>
      </c>
      <c r="R45" s="7" t="s">
        <v>10</v>
      </c>
      <c r="T45" s="4"/>
      <c r="U45" s="5" t="s">
        <v>4</v>
      </c>
      <c r="V45" s="5" t="s">
        <v>5</v>
      </c>
      <c r="W45" s="5" t="s">
        <v>6</v>
      </c>
      <c r="X45" s="5" t="s">
        <v>7</v>
      </c>
      <c r="Y45" s="5" t="s">
        <v>8</v>
      </c>
      <c r="Z45" s="6" t="s">
        <v>9</v>
      </c>
      <c r="AA45" s="7" t="s">
        <v>10</v>
      </c>
      <c r="AC45" s="4"/>
      <c r="AD45" s="5" t="s">
        <v>4</v>
      </c>
      <c r="AE45" s="5" t="s">
        <v>5</v>
      </c>
      <c r="AF45" s="5" t="s">
        <v>6</v>
      </c>
      <c r="AG45" s="5" t="s">
        <v>7</v>
      </c>
      <c r="AH45" s="5" t="s">
        <v>8</v>
      </c>
      <c r="AI45" s="6" t="s">
        <v>9</v>
      </c>
      <c r="AJ45" s="7" t="s">
        <v>10</v>
      </c>
      <c r="AL45" s="4"/>
      <c r="AM45" s="5" t="s">
        <v>4</v>
      </c>
      <c r="AN45" s="5" t="s">
        <v>5</v>
      </c>
      <c r="AO45" s="5" t="s">
        <v>6</v>
      </c>
      <c r="AP45" s="5" t="s">
        <v>7</v>
      </c>
      <c r="AQ45" s="5" t="s">
        <v>8</v>
      </c>
      <c r="AR45" s="6" t="s">
        <v>9</v>
      </c>
      <c r="AS45" s="7" t="s">
        <v>10</v>
      </c>
    </row>
    <row r="46" spans="2:45" x14ac:dyDescent="0.35">
      <c r="B46" s="10" t="s">
        <v>4</v>
      </c>
      <c r="C46" s="11"/>
      <c r="D46" s="11"/>
      <c r="E46" s="11"/>
      <c r="F46" s="11"/>
      <c r="G46" s="11"/>
      <c r="H46" s="27"/>
      <c r="I46">
        <f>MIN(C46:H46)</f>
        <v>0</v>
      </c>
      <c r="K46" s="10" t="s">
        <v>4</v>
      </c>
      <c r="L46" s="11"/>
      <c r="M46" s="11"/>
      <c r="N46" s="11"/>
      <c r="O46" s="11"/>
      <c r="P46" s="11"/>
      <c r="Q46" s="27"/>
      <c r="R46">
        <f>MIN(M46:Q46)</f>
        <v>0</v>
      </c>
      <c r="T46" s="10" t="s">
        <v>4</v>
      </c>
      <c r="U46" s="11"/>
      <c r="V46" s="11"/>
      <c r="W46" s="11"/>
      <c r="X46" s="11"/>
      <c r="Y46" s="11"/>
      <c r="Z46" s="27"/>
      <c r="AA46">
        <f>MIN(V46:Z46)</f>
        <v>0</v>
      </c>
      <c r="AC46" s="10" t="s">
        <v>4</v>
      </c>
      <c r="AD46" s="11"/>
      <c r="AE46" s="11"/>
      <c r="AF46" s="11"/>
      <c r="AG46" s="11"/>
      <c r="AH46" s="11"/>
      <c r="AI46" s="27"/>
      <c r="AJ46">
        <f>MIN(AE46:AI46)</f>
        <v>0</v>
      </c>
      <c r="AL46" s="10" t="s">
        <v>4</v>
      </c>
      <c r="AM46" s="11"/>
      <c r="AN46" s="11"/>
      <c r="AO46" s="11"/>
      <c r="AP46" s="11"/>
      <c r="AQ46" s="11"/>
      <c r="AR46" s="27"/>
      <c r="AS46">
        <f>MIN(AN46:AR46)</f>
        <v>0</v>
      </c>
    </row>
    <row r="47" spans="2:45" x14ac:dyDescent="0.35">
      <c r="B47" s="10" t="s">
        <v>5</v>
      </c>
      <c r="C47" s="11"/>
      <c r="D47" s="11"/>
      <c r="E47">
        <v>5</v>
      </c>
      <c r="F47">
        <v>3</v>
      </c>
      <c r="G47">
        <v>0</v>
      </c>
      <c r="H47" s="12">
        <v>0</v>
      </c>
      <c r="I47">
        <f>MIN(C47:H47)</f>
        <v>0</v>
      </c>
      <c r="K47" s="10" t="s">
        <v>5</v>
      </c>
      <c r="L47">
        <v>1</v>
      </c>
      <c r="M47" s="11"/>
      <c r="N47" s="11"/>
      <c r="O47">
        <v>3</v>
      </c>
      <c r="P47">
        <v>0</v>
      </c>
      <c r="Q47" s="12">
        <v>0</v>
      </c>
      <c r="R47">
        <f>MIN(L47:Q47)</f>
        <v>0</v>
      </c>
      <c r="T47" s="10" t="s">
        <v>5</v>
      </c>
      <c r="U47">
        <v>1</v>
      </c>
      <c r="V47" s="11"/>
      <c r="W47">
        <v>5</v>
      </c>
      <c r="X47" s="11"/>
      <c r="Y47">
        <v>0</v>
      </c>
      <c r="Z47" s="12">
        <v>0</v>
      </c>
      <c r="AA47">
        <f>MIN(U47:Z47)</f>
        <v>0</v>
      </c>
      <c r="AC47" s="10" t="s">
        <v>5</v>
      </c>
      <c r="AD47">
        <v>1</v>
      </c>
      <c r="AE47" s="11"/>
      <c r="AF47">
        <v>5</v>
      </c>
      <c r="AG47">
        <v>3</v>
      </c>
      <c r="AH47" s="11"/>
      <c r="AI47" s="12">
        <v>0</v>
      </c>
      <c r="AJ47">
        <f>MIN(AD47:AI47)</f>
        <v>0</v>
      </c>
      <c r="AL47" s="10" t="s">
        <v>5</v>
      </c>
      <c r="AM47">
        <v>1</v>
      </c>
      <c r="AN47" s="11"/>
      <c r="AO47">
        <v>5</v>
      </c>
      <c r="AP47">
        <v>3</v>
      </c>
      <c r="AQ47">
        <v>0</v>
      </c>
      <c r="AR47" s="27"/>
      <c r="AS47">
        <f>MIN(AM47:AR47)</f>
        <v>0</v>
      </c>
    </row>
    <row r="48" spans="2:45" x14ac:dyDescent="0.35">
      <c r="B48" s="10" t="s">
        <v>6</v>
      </c>
      <c r="C48">
        <v>12</v>
      </c>
      <c r="D48" s="11"/>
      <c r="E48" s="11"/>
      <c r="F48">
        <v>12</v>
      </c>
      <c r="G48">
        <v>0</v>
      </c>
      <c r="H48" s="12">
        <v>2</v>
      </c>
      <c r="I48">
        <f t="shared" ref="I48:I51" si="12">MIN(C48:H48)</f>
        <v>0</v>
      </c>
      <c r="K48" s="10" t="s">
        <v>6</v>
      </c>
      <c r="L48" s="11"/>
      <c r="M48">
        <v>4</v>
      </c>
      <c r="N48" s="11"/>
      <c r="O48">
        <v>12</v>
      </c>
      <c r="P48">
        <v>0</v>
      </c>
      <c r="Q48" s="12">
        <v>2</v>
      </c>
      <c r="R48">
        <f t="shared" ref="R48:R51" si="13">MIN(L48:Q48)</f>
        <v>0</v>
      </c>
      <c r="T48" s="10" t="s">
        <v>6</v>
      </c>
      <c r="U48">
        <v>12</v>
      </c>
      <c r="V48">
        <v>4</v>
      </c>
      <c r="W48" s="11"/>
      <c r="X48" s="11"/>
      <c r="Y48">
        <v>0</v>
      </c>
      <c r="Z48" s="12">
        <v>2</v>
      </c>
      <c r="AA48">
        <f t="shared" ref="AA48:AA51" si="14">MIN(U48:Z48)</f>
        <v>0</v>
      </c>
      <c r="AC48" s="10" t="s">
        <v>6</v>
      </c>
      <c r="AD48">
        <v>12</v>
      </c>
      <c r="AE48">
        <v>4</v>
      </c>
      <c r="AF48" s="11"/>
      <c r="AG48">
        <v>12</v>
      </c>
      <c r="AH48" s="11"/>
      <c r="AI48" s="12">
        <v>2</v>
      </c>
      <c r="AJ48">
        <f t="shared" ref="AJ48:AJ51" si="15">MIN(AD48:AI48)</f>
        <v>2</v>
      </c>
      <c r="AL48" s="10" t="s">
        <v>6</v>
      </c>
      <c r="AM48">
        <v>12</v>
      </c>
      <c r="AN48">
        <v>4</v>
      </c>
      <c r="AO48" s="11"/>
      <c r="AP48">
        <v>12</v>
      </c>
      <c r="AQ48">
        <v>0</v>
      </c>
      <c r="AR48" s="27"/>
      <c r="AS48">
        <f t="shared" ref="AS48:AS51" si="16">MIN(AM48:AR48)</f>
        <v>0</v>
      </c>
    </row>
    <row r="49" spans="2:45" x14ac:dyDescent="0.35">
      <c r="B49" s="10" t="s">
        <v>7</v>
      </c>
      <c r="C49">
        <v>0</v>
      </c>
      <c r="D49" s="11"/>
      <c r="E49">
        <v>2</v>
      </c>
      <c r="F49" s="11"/>
      <c r="G49">
        <v>2</v>
      </c>
      <c r="H49" s="12">
        <v>3</v>
      </c>
      <c r="I49">
        <f t="shared" si="12"/>
        <v>0</v>
      </c>
      <c r="K49" s="10" t="s">
        <v>7</v>
      </c>
      <c r="L49">
        <v>0</v>
      </c>
      <c r="M49">
        <v>2</v>
      </c>
      <c r="N49" s="11"/>
      <c r="O49" s="11"/>
      <c r="P49">
        <v>2</v>
      </c>
      <c r="Q49" s="12">
        <v>3</v>
      </c>
      <c r="R49">
        <f t="shared" si="13"/>
        <v>0</v>
      </c>
      <c r="T49" s="10" t="s">
        <v>7</v>
      </c>
      <c r="U49" s="11"/>
      <c r="V49">
        <v>2</v>
      </c>
      <c r="W49">
        <v>2</v>
      </c>
      <c r="X49" s="11"/>
      <c r="Y49">
        <v>2</v>
      </c>
      <c r="Z49" s="12">
        <v>3</v>
      </c>
      <c r="AA49">
        <f t="shared" si="14"/>
        <v>2</v>
      </c>
      <c r="AC49" s="10" t="s">
        <v>7</v>
      </c>
      <c r="AD49">
        <v>0</v>
      </c>
      <c r="AE49">
        <v>2</v>
      </c>
      <c r="AF49">
        <v>2</v>
      </c>
      <c r="AG49" s="11"/>
      <c r="AH49" s="11"/>
      <c r="AI49" s="12">
        <v>3</v>
      </c>
      <c r="AJ49">
        <f t="shared" si="15"/>
        <v>0</v>
      </c>
      <c r="AL49" s="10" t="s">
        <v>7</v>
      </c>
      <c r="AM49">
        <v>0</v>
      </c>
      <c r="AN49">
        <v>2</v>
      </c>
      <c r="AO49">
        <v>2</v>
      </c>
      <c r="AP49" s="11"/>
      <c r="AQ49">
        <v>2</v>
      </c>
      <c r="AR49" s="27"/>
      <c r="AS49">
        <f t="shared" si="16"/>
        <v>0</v>
      </c>
    </row>
    <row r="50" spans="2:45" x14ac:dyDescent="0.35">
      <c r="B50" s="10" t="s">
        <v>8</v>
      </c>
      <c r="C50">
        <v>4</v>
      </c>
      <c r="D50" s="11"/>
      <c r="E50">
        <v>0</v>
      </c>
      <c r="F50">
        <v>6</v>
      </c>
      <c r="G50" s="11"/>
      <c r="H50" s="12">
        <v>4</v>
      </c>
      <c r="I50">
        <f t="shared" si="12"/>
        <v>0</v>
      </c>
      <c r="K50" s="10" t="s">
        <v>8</v>
      </c>
      <c r="L50">
        <v>4</v>
      </c>
      <c r="M50">
        <v>0</v>
      </c>
      <c r="N50" s="11"/>
      <c r="O50">
        <v>6</v>
      </c>
      <c r="P50" s="11"/>
      <c r="Q50" s="12">
        <v>4</v>
      </c>
      <c r="R50">
        <f t="shared" si="13"/>
        <v>0</v>
      </c>
      <c r="T50" s="10" t="s">
        <v>8</v>
      </c>
      <c r="U50">
        <v>4</v>
      </c>
      <c r="V50">
        <v>0</v>
      </c>
      <c r="W50">
        <v>0</v>
      </c>
      <c r="X50" s="11"/>
      <c r="Y50" s="11"/>
      <c r="Z50" s="12">
        <v>4</v>
      </c>
      <c r="AA50">
        <f t="shared" si="14"/>
        <v>0</v>
      </c>
      <c r="AC50" s="10" t="s">
        <v>8</v>
      </c>
      <c r="AD50" s="11"/>
      <c r="AE50">
        <v>0</v>
      </c>
      <c r="AF50">
        <v>0</v>
      </c>
      <c r="AG50">
        <v>6</v>
      </c>
      <c r="AH50" s="11"/>
      <c r="AI50" s="12">
        <v>4</v>
      </c>
      <c r="AJ50">
        <f t="shared" si="15"/>
        <v>0</v>
      </c>
      <c r="AL50" s="10" t="s">
        <v>8</v>
      </c>
      <c r="AM50">
        <v>4</v>
      </c>
      <c r="AN50">
        <v>0</v>
      </c>
      <c r="AO50">
        <v>0</v>
      </c>
      <c r="AP50">
        <v>6</v>
      </c>
      <c r="AQ50" s="11"/>
      <c r="AR50" s="27"/>
      <c r="AS50">
        <f t="shared" si="16"/>
        <v>0</v>
      </c>
    </row>
    <row r="51" spans="2:45" x14ac:dyDescent="0.35">
      <c r="B51" s="14" t="s">
        <v>9</v>
      </c>
      <c r="C51" s="15">
        <v>0</v>
      </c>
      <c r="D51" s="28"/>
      <c r="E51" s="15">
        <v>0</v>
      </c>
      <c r="F51" s="15">
        <v>2</v>
      </c>
      <c r="G51" s="15">
        <v>2</v>
      </c>
      <c r="H51" s="16"/>
      <c r="I51">
        <f t="shared" si="12"/>
        <v>0</v>
      </c>
      <c r="K51" s="14" t="s">
        <v>9</v>
      </c>
      <c r="L51" s="15">
        <v>0</v>
      </c>
      <c r="M51" s="15">
        <v>2</v>
      </c>
      <c r="N51" s="28"/>
      <c r="O51" s="15">
        <v>2</v>
      </c>
      <c r="P51" s="15">
        <v>2</v>
      </c>
      <c r="Q51" s="16"/>
      <c r="R51">
        <f t="shared" si="13"/>
        <v>0</v>
      </c>
      <c r="T51" s="14" t="s">
        <v>9</v>
      </c>
      <c r="U51" s="15">
        <v>0</v>
      </c>
      <c r="V51" s="15">
        <v>2</v>
      </c>
      <c r="W51" s="15">
        <v>0</v>
      </c>
      <c r="X51" s="28"/>
      <c r="Y51" s="15">
        <v>2</v>
      </c>
      <c r="Z51" s="16"/>
      <c r="AA51">
        <f t="shared" si="14"/>
        <v>0</v>
      </c>
      <c r="AC51" s="14" t="s">
        <v>9</v>
      </c>
      <c r="AD51" s="15">
        <v>0</v>
      </c>
      <c r="AE51" s="15">
        <v>2</v>
      </c>
      <c r="AF51" s="15">
        <v>0</v>
      </c>
      <c r="AG51" s="15">
        <v>2</v>
      </c>
      <c r="AH51" s="28"/>
      <c r="AI51" s="16"/>
      <c r="AJ51">
        <f t="shared" si="15"/>
        <v>0</v>
      </c>
      <c r="AL51" s="14" t="s">
        <v>9</v>
      </c>
      <c r="AM51" s="28"/>
      <c r="AN51" s="15">
        <v>2</v>
      </c>
      <c r="AO51" s="15">
        <v>0</v>
      </c>
      <c r="AP51" s="15">
        <v>2</v>
      </c>
      <c r="AQ51" s="15">
        <v>2</v>
      </c>
      <c r="AR51" s="16"/>
      <c r="AS51">
        <f t="shared" si="16"/>
        <v>0</v>
      </c>
    </row>
    <row r="53" spans="2:45" x14ac:dyDescent="0.35">
      <c r="B53" s="4"/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  <c r="K53" s="4"/>
      <c r="L53" s="5" t="s">
        <v>4</v>
      </c>
      <c r="M53" s="5" t="s">
        <v>5</v>
      </c>
      <c r="N53" s="5" t="s">
        <v>6</v>
      </c>
      <c r="O53" s="5" t="s">
        <v>7</v>
      </c>
      <c r="P53" s="5" t="s">
        <v>8</v>
      </c>
      <c r="Q53" s="6" t="s">
        <v>9</v>
      </c>
      <c r="T53" s="4"/>
      <c r="U53" s="5" t="s">
        <v>4</v>
      </c>
      <c r="V53" s="5" t="s">
        <v>5</v>
      </c>
      <c r="W53" s="5" t="s">
        <v>6</v>
      </c>
      <c r="X53" s="5" t="s">
        <v>7</v>
      </c>
      <c r="Y53" s="5" t="s">
        <v>8</v>
      </c>
      <c r="Z53" s="6" t="s">
        <v>9</v>
      </c>
      <c r="AC53" s="4"/>
      <c r="AD53" s="5" t="s">
        <v>4</v>
      </c>
      <c r="AE53" s="5" t="s">
        <v>5</v>
      </c>
      <c r="AF53" s="5" t="s">
        <v>6</v>
      </c>
      <c r="AG53" s="5" t="s">
        <v>7</v>
      </c>
      <c r="AH53" s="5" t="s">
        <v>8</v>
      </c>
      <c r="AI53" s="6" t="s">
        <v>9</v>
      </c>
      <c r="AL53" s="4"/>
      <c r="AM53" s="5" t="s">
        <v>4</v>
      </c>
      <c r="AN53" s="5" t="s">
        <v>5</v>
      </c>
      <c r="AO53" s="5" t="s">
        <v>6</v>
      </c>
      <c r="AP53" s="5" t="s">
        <v>7</v>
      </c>
      <c r="AQ53" s="5" t="s">
        <v>8</v>
      </c>
      <c r="AR53" s="6" t="s">
        <v>9</v>
      </c>
    </row>
    <row r="54" spans="2:45" x14ac:dyDescent="0.35">
      <c r="B54" s="10" t="s">
        <v>4</v>
      </c>
      <c r="C54" s="11"/>
      <c r="D54" s="11"/>
      <c r="E54" s="11"/>
      <c r="F54" s="11"/>
      <c r="G54" s="11"/>
      <c r="H54" s="27"/>
      <c r="K54" s="10" t="s">
        <v>4</v>
      </c>
      <c r="L54" s="11"/>
      <c r="M54" s="11"/>
      <c r="N54" s="11"/>
      <c r="O54" s="11"/>
      <c r="P54" s="11"/>
      <c r="Q54" s="27"/>
      <c r="T54" s="10" t="s">
        <v>4</v>
      </c>
      <c r="U54" s="11"/>
      <c r="V54" s="11"/>
      <c r="W54" s="11"/>
      <c r="X54" s="11"/>
      <c r="Y54" s="11"/>
      <c r="Z54" s="27"/>
      <c r="AC54" s="10" t="s">
        <v>4</v>
      </c>
      <c r="AD54" s="11"/>
      <c r="AE54" s="11"/>
      <c r="AF54" s="11"/>
      <c r="AG54" s="11"/>
      <c r="AH54" s="11"/>
      <c r="AI54" s="27"/>
      <c r="AL54" s="10" t="s">
        <v>4</v>
      </c>
      <c r="AM54" s="11"/>
      <c r="AN54" s="11"/>
      <c r="AO54" s="11"/>
      <c r="AP54" s="11"/>
      <c r="AQ54" s="11"/>
      <c r="AR54" s="27"/>
    </row>
    <row r="55" spans="2:45" x14ac:dyDescent="0.35">
      <c r="B55" s="10" t="s">
        <v>5</v>
      </c>
      <c r="C55" s="11"/>
      <c r="D55" s="11"/>
      <c r="E55">
        <v>5</v>
      </c>
      <c r="F55">
        <v>3</v>
      </c>
      <c r="G55">
        <v>0</v>
      </c>
      <c r="H55" s="12">
        <v>0</v>
      </c>
      <c r="K55" s="10" t="s">
        <v>5</v>
      </c>
      <c r="L55">
        <v>1</v>
      </c>
      <c r="M55" s="11"/>
      <c r="N55" s="11"/>
      <c r="O55">
        <v>3</v>
      </c>
      <c r="P55">
        <v>0</v>
      </c>
      <c r="Q55" s="12">
        <v>0</v>
      </c>
      <c r="T55" s="10" t="s">
        <v>5</v>
      </c>
      <c r="U55">
        <v>1</v>
      </c>
      <c r="V55" s="11"/>
      <c r="W55">
        <v>5</v>
      </c>
      <c r="X55" s="11"/>
      <c r="Y55">
        <v>0</v>
      </c>
      <c r="Z55" s="12">
        <v>0</v>
      </c>
      <c r="AC55" s="10" t="s">
        <v>5</v>
      </c>
      <c r="AD55">
        <v>1</v>
      </c>
      <c r="AE55" s="11"/>
      <c r="AF55">
        <v>5</v>
      </c>
      <c r="AG55">
        <v>3</v>
      </c>
      <c r="AH55" s="11"/>
      <c r="AI55" s="12">
        <v>0</v>
      </c>
      <c r="AL55" s="10" t="s">
        <v>5</v>
      </c>
      <c r="AM55">
        <v>1</v>
      </c>
      <c r="AN55" s="11"/>
      <c r="AO55">
        <v>5</v>
      </c>
      <c r="AP55">
        <v>3</v>
      </c>
      <c r="AQ55">
        <v>0</v>
      </c>
      <c r="AR55" s="27"/>
    </row>
    <row r="56" spans="2:45" x14ac:dyDescent="0.35">
      <c r="B56" s="10" t="s">
        <v>6</v>
      </c>
      <c r="C56">
        <v>12</v>
      </c>
      <c r="D56" s="11"/>
      <c r="E56" s="11"/>
      <c r="F56">
        <v>12</v>
      </c>
      <c r="G56">
        <v>0</v>
      </c>
      <c r="H56" s="12">
        <v>2</v>
      </c>
      <c r="K56" s="10" t="s">
        <v>6</v>
      </c>
      <c r="L56" s="11"/>
      <c r="M56">
        <v>4</v>
      </c>
      <c r="N56" s="11"/>
      <c r="O56">
        <v>12</v>
      </c>
      <c r="P56">
        <v>0</v>
      </c>
      <c r="Q56" s="12">
        <v>2</v>
      </c>
      <c r="T56" s="10" t="s">
        <v>6</v>
      </c>
      <c r="U56">
        <v>12</v>
      </c>
      <c r="V56">
        <v>4</v>
      </c>
      <c r="W56" s="11"/>
      <c r="X56" s="11"/>
      <c r="Y56">
        <v>0</v>
      </c>
      <c r="Z56" s="12">
        <v>2</v>
      </c>
      <c r="AC56" s="10" t="s">
        <v>6</v>
      </c>
      <c r="AD56">
        <f>AD48-$AJ$48</f>
        <v>10</v>
      </c>
      <c r="AE56">
        <f>AE48-$AJ$48</f>
        <v>2</v>
      </c>
      <c r="AF56" s="11"/>
      <c r="AG56">
        <f>AG48-$AJ$48</f>
        <v>10</v>
      </c>
      <c r="AH56" s="11"/>
      <c r="AI56" s="12">
        <f>AI48-$AJ$48</f>
        <v>0</v>
      </c>
      <c r="AL56" s="10" t="s">
        <v>6</v>
      </c>
      <c r="AM56">
        <v>12</v>
      </c>
      <c r="AN56">
        <v>4</v>
      </c>
      <c r="AO56" s="11"/>
      <c r="AP56">
        <v>12</v>
      </c>
      <c r="AQ56">
        <v>0</v>
      </c>
      <c r="AR56" s="27"/>
    </row>
    <row r="57" spans="2:45" x14ac:dyDescent="0.35">
      <c r="B57" s="10" t="s">
        <v>7</v>
      </c>
      <c r="C57">
        <v>0</v>
      </c>
      <c r="D57" s="11"/>
      <c r="E57">
        <v>2</v>
      </c>
      <c r="F57" s="11"/>
      <c r="G57">
        <v>2</v>
      </c>
      <c r="H57" s="12">
        <v>3</v>
      </c>
      <c r="K57" s="10" t="s">
        <v>7</v>
      </c>
      <c r="L57">
        <v>0</v>
      </c>
      <c r="M57">
        <v>2</v>
      </c>
      <c r="N57" s="11"/>
      <c r="O57" s="11"/>
      <c r="P57">
        <v>2</v>
      </c>
      <c r="Q57" s="12">
        <v>3</v>
      </c>
      <c r="T57" s="10" t="s">
        <v>7</v>
      </c>
      <c r="U57" s="11"/>
      <c r="V57">
        <f t="shared" ref="V57:Y57" si="17">V49-$AA$49</f>
        <v>0</v>
      </c>
      <c r="W57">
        <f t="shared" si="17"/>
        <v>0</v>
      </c>
      <c r="X57" s="11"/>
      <c r="Y57">
        <f t="shared" si="17"/>
        <v>0</v>
      </c>
      <c r="Z57" s="12">
        <f>Z49-$AA$49</f>
        <v>1</v>
      </c>
      <c r="AC57" s="10" t="s">
        <v>7</v>
      </c>
      <c r="AD57">
        <v>0</v>
      </c>
      <c r="AE57">
        <v>2</v>
      </c>
      <c r="AF57">
        <v>2</v>
      </c>
      <c r="AG57" s="11"/>
      <c r="AH57" s="11"/>
      <c r="AI57" s="12">
        <v>3</v>
      </c>
      <c r="AL57" s="10" t="s">
        <v>7</v>
      </c>
      <c r="AM57">
        <v>0</v>
      </c>
      <c r="AN57">
        <v>2</v>
      </c>
      <c r="AO57">
        <v>2</v>
      </c>
      <c r="AP57" s="11"/>
      <c r="AQ57">
        <v>2</v>
      </c>
      <c r="AR57" s="27"/>
    </row>
    <row r="58" spans="2:45" x14ac:dyDescent="0.35">
      <c r="B58" s="10" t="s">
        <v>8</v>
      </c>
      <c r="C58">
        <v>4</v>
      </c>
      <c r="D58" s="11"/>
      <c r="E58">
        <v>0</v>
      </c>
      <c r="F58">
        <v>6</v>
      </c>
      <c r="G58" s="11"/>
      <c r="H58" s="12">
        <v>4</v>
      </c>
      <c r="K58" s="10" t="s">
        <v>8</v>
      </c>
      <c r="L58">
        <v>4</v>
      </c>
      <c r="M58">
        <v>0</v>
      </c>
      <c r="N58" s="11"/>
      <c r="O58">
        <v>6</v>
      </c>
      <c r="P58" s="11"/>
      <c r="Q58" s="12">
        <v>4</v>
      </c>
      <c r="T58" s="10" t="s">
        <v>8</v>
      </c>
      <c r="U58">
        <v>4</v>
      </c>
      <c r="V58">
        <v>0</v>
      </c>
      <c r="W58">
        <v>0</v>
      </c>
      <c r="X58" s="11"/>
      <c r="Y58" s="11"/>
      <c r="Z58" s="12">
        <v>4</v>
      </c>
      <c r="AC58" s="10" t="s">
        <v>8</v>
      </c>
      <c r="AD58" s="11"/>
      <c r="AE58">
        <v>0</v>
      </c>
      <c r="AF58">
        <v>0</v>
      </c>
      <c r="AG58">
        <v>6</v>
      </c>
      <c r="AH58" s="11"/>
      <c r="AI58" s="12">
        <v>4</v>
      </c>
      <c r="AL58" s="10" t="s">
        <v>8</v>
      </c>
      <c r="AM58">
        <v>4</v>
      </c>
      <c r="AN58">
        <v>0</v>
      </c>
      <c r="AO58">
        <v>0</v>
      </c>
      <c r="AP58">
        <v>6</v>
      </c>
      <c r="AQ58" s="11"/>
      <c r="AR58" s="27"/>
    </row>
    <row r="59" spans="2:45" x14ac:dyDescent="0.35">
      <c r="B59" s="14" t="s">
        <v>9</v>
      </c>
      <c r="C59" s="15">
        <v>0</v>
      </c>
      <c r="D59" s="28"/>
      <c r="E59" s="15">
        <v>0</v>
      </c>
      <c r="F59" s="15">
        <v>2</v>
      </c>
      <c r="G59" s="15">
        <v>2</v>
      </c>
      <c r="H59" s="16"/>
      <c r="K59" s="14" t="s">
        <v>9</v>
      </c>
      <c r="L59" s="15">
        <v>0</v>
      </c>
      <c r="M59" s="15">
        <v>2</v>
      </c>
      <c r="N59" s="28"/>
      <c r="O59" s="15">
        <v>2</v>
      </c>
      <c r="P59" s="15">
        <v>2</v>
      </c>
      <c r="Q59" s="16"/>
      <c r="T59" s="14" t="s">
        <v>9</v>
      </c>
      <c r="U59" s="15">
        <v>0</v>
      </c>
      <c r="V59" s="15">
        <v>2</v>
      </c>
      <c r="W59" s="15">
        <v>0</v>
      </c>
      <c r="X59" s="28"/>
      <c r="Y59" s="15">
        <v>2</v>
      </c>
      <c r="Z59" s="16"/>
      <c r="AC59" s="14" t="s">
        <v>9</v>
      </c>
      <c r="AD59" s="15">
        <v>0</v>
      </c>
      <c r="AE59" s="15">
        <v>2</v>
      </c>
      <c r="AF59" s="15">
        <v>0</v>
      </c>
      <c r="AG59" s="15">
        <v>2</v>
      </c>
      <c r="AH59" s="28"/>
      <c r="AI59" s="16"/>
      <c r="AL59" s="14" t="s">
        <v>9</v>
      </c>
      <c r="AM59" s="28"/>
      <c r="AN59" s="15">
        <v>2</v>
      </c>
      <c r="AO59" s="15">
        <v>0</v>
      </c>
      <c r="AP59" s="15">
        <v>2</v>
      </c>
      <c r="AQ59" s="15">
        <v>2</v>
      </c>
      <c r="AR59" s="16"/>
    </row>
    <row r="60" spans="2:45" x14ac:dyDescent="0.35">
      <c r="B60" s="7" t="s">
        <v>10</v>
      </c>
      <c r="C60">
        <f>MIN(C54:C59)</f>
        <v>0</v>
      </c>
      <c r="D60">
        <f t="shared" ref="D60:H60" si="18">MIN(D54:D59)</f>
        <v>0</v>
      </c>
      <c r="E60">
        <f t="shared" si="18"/>
        <v>0</v>
      </c>
      <c r="F60">
        <f t="shared" si="18"/>
        <v>2</v>
      </c>
      <c r="G60">
        <f t="shared" si="18"/>
        <v>0</v>
      </c>
      <c r="H60">
        <f t="shared" si="18"/>
        <v>0</v>
      </c>
      <c r="K60" s="7" t="s">
        <v>10</v>
      </c>
      <c r="L60">
        <f>MIN(L54:L59)</f>
        <v>0</v>
      </c>
      <c r="M60">
        <f t="shared" ref="M60:Q60" si="19">MIN(M54:M59)</f>
        <v>0</v>
      </c>
      <c r="N60">
        <f t="shared" si="19"/>
        <v>0</v>
      </c>
      <c r="O60">
        <f t="shared" si="19"/>
        <v>2</v>
      </c>
      <c r="P60">
        <f t="shared" si="19"/>
        <v>0</v>
      </c>
      <c r="Q60">
        <f t="shared" si="19"/>
        <v>0</v>
      </c>
      <c r="T60" s="7" t="s">
        <v>10</v>
      </c>
      <c r="U60">
        <f>MIN(U54:U59)</f>
        <v>0</v>
      </c>
      <c r="V60">
        <f t="shared" ref="V60:Z60" si="20">MIN(V54:V59)</f>
        <v>0</v>
      </c>
      <c r="W60">
        <f t="shared" si="20"/>
        <v>0</v>
      </c>
      <c r="X60">
        <f t="shared" si="20"/>
        <v>0</v>
      </c>
      <c r="Y60">
        <f t="shared" si="20"/>
        <v>0</v>
      </c>
      <c r="Z60">
        <f t="shared" si="20"/>
        <v>0</v>
      </c>
      <c r="AC60" s="7" t="s">
        <v>10</v>
      </c>
      <c r="AD60">
        <f>MIN(AD54:AD59)</f>
        <v>0</v>
      </c>
      <c r="AE60">
        <f t="shared" ref="AE60:AI60" si="21">MIN(AE54:AE59)</f>
        <v>0</v>
      </c>
      <c r="AF60">
        <f t="shared" si="21"/>
        <v>0</v>
      </c>
      <c r="AG60">
        <f t="shared" si="21"/>
        <v>2</v>
      </c>
      <c r="AH60">
        <f t="shared" si="21"/>
        <v>0</v>
      </c>
      <c r="AI60">
        <f t="shared" si="21"/>
        <v>0</v>
      </c>
      <c r="AL60" s="7" t="s">
        <v>10</v>
      </c>
      <c r="AM60">
        <f>MIN(AM54:AM59)</f>
        <v>0</v>
      </c>
      <c r="AN60">
        <f t="shared" ref="AN60:AR60" si="22">MIN(AN54:AN59)</f>
        <v>0</v>
      </c>
      <c r="AO60">
        <f t="shared" si="22"/>
        <v>0</v>
      </c>
      <c r="AP60">
        <f t="shared" si="22"/>
        <v>2</v>
      </c>
      <c r="AQ60">
        <f t="shared" si="22"/>
        <v>0</v>
      </c>
      <c r="AR60">
        <f t="shared" si="22"/>
        <v>0</v>
      </c>
    </row>
    <row r="62" spans="2:45" x14ac:dyDescent="0.35">
      <c r="B62" s="4"/>
      <c r="C62" s="5" t="s">
        <v>4</v>
      </c>
      <c r="D62" s="5" t="s">
        <v>5</v>
      </c>
      <c r="E62" s="5" t="s">
        <v>6</v>
      </c>
      <c r="F62" s="5" t="s">
        <v>7</v>
      </c>
      <c r="G62" s="5" t="s">
        <v>8</v>
      </c>
      <c r="H62" s="6" t="s">
        <v>9</v>
      </c>
      <c r="K62" s="4"/>
      <c r="L62" s="5" t="s">
        <v>4</v>
      </c>
      <c r="M62" s="5" t="s">
        <v>5</v>
      </c>
      <c r="N62" s="5" t="s">
        <v>6</v>
      </c>
      <c r="O62" s="5" t="s">
        <v>7</v>
      </c>
      <c r="P62" s="5" t="s">
        <v>8</v>
      </c>
      <c r="Q62" s="6" t="s">
        <v>9</v>
      </c>
      <c r="AC62" s="4"/>
      <c r="AD62" s="5" t="s">
        <v>4</v>
      </c>
      <c r="AE62" s="5" t="s">
        <v>5</v>
      </c>
      <c r="AF62" s="5" t="s">
        <v>6</v>
      </c>
      <c r="AG62" s="5" t="s">
        <v>7</v>
      </c>
      <c r="AH62" s="5" t="s">
        <v>8</v>
      </c>
      <c r="AI62" s="6" t="s">
        <v>9</v>
      </c>
      <c r="AL62" s="4"/>
      <c r="AM62" s="5" t="s">
        <v>4</v>
      </c>
      <c r="AN62" s="5" t="s">
        <v>5</v>
      </c>
      <c r="AO62" s="5" t="s">
        <v>6</v>
      </c>
      <c r="AP62" s="5" t="s">
        <v>7</v>
      </c>
      <c r="AQ62" s="5" t="s">
        <v>8</v>
      </c>
      <c r="AR62" s="6" t="s">
        <v>9</v>
      </c>
    </row>
    <row r="63" spans="2:45" x14ac:dyDescent="0.35">
      <c r="B63" s="10" t="s">
        <v>4</v>
      </c>
      <c r="C63" s="11"/>
      <c r="D63" s="11"/>
      <c r="E63" s="11"/>
      <c r="F63" s="11"/>
      <c r="G63" s="11"/>
      <c r="H63" s="27"/>
      <c r="K63" s="10" t="s">
        <v>4</v>
      </c>
      <c r="L63" s="11"/>
      <c r="M63" s="11"/>
      <c r="N63" s="11"/>
      <c r="O63" s="11"/>
      <c r="P63" s="11"/>
      <c r="Q63" s="27"/>
      <c r="AC63" s="10" t="s">
        <v>4</v>
      </c>
      <c r="AD63" s="11"/>
      <c r="AE63" s="11"/>
      <c r="AF63" s="11"/>
      <c r="AG63" s="11"/>
      <c r="AH63" s="11"/>
      <c r="AI63" s="27"/>
      <c r="AL63" s="10" t="s">
        <v>4</v>
      </c>
      <c r="AM63" s="11"/>
      <c r="AN63" s="11"/>
      <c r="AO63" s="11"/>
      <c r="AP63" s="11"/>
      <c r="AQ63" s="11"/>
      <c r="AR63" s="27"/>
    </row>
    <row r="64" spans="2:45" x14ac:dyDescent="0.35">
      <c r="B64" s="10" t="s">
        <v>5</v>
      </c>
      <c r="C64" s="11"/>
      <c r="D64" s="11"/>
      <c r="E64">
        <v>5</v>
      </c>
      <c r="F64">
        <f>F55-$F$60</f>
        <v>1</v>
      </c>
      <c r="G64">
        <v>0</v>
      </c>
      <c r="H64" s="12">
        <v>0</v>
      </c>
      <c r="K64" s="10" t="s">
        <v>5</v>
      </c>
      <c r="L64">
        <v>1</v>
      </c>
      <c r="M64" s="11"/>
      <c r="N64" s="11"/>
      <c r="O64">
        <f>O55-$O$60</f>
        <v>1</v>
      </c>
      <c r="P64">
        <v>0</v>
      </c>
      <c r="Q64" s="12">
        <v>0</v>
      </c>
      <c r="AC64" s="10" t="s">
        <v>5</v>
      </c>
      <c r="AD64">
        <v>1</v>
      </c>
      <c r="AE64" s="11"/>
      <c r="AF64">
        <v>5</v>
      </c>
      <c r="AG64">
        <f>AG55-$AG$60</f>
        <v>1</v>
      </c>
      <c r="AH64" s="11"/>
      <c r="AI64" s="12">
        <v>0</v>
      </c>
      <c r="AL64" s="10" t="s">
        <v>5</v>
      </c>
      <c r="AM64">
        <v>1</v>
      </c>
      <c r="AN64" s="11"/>
      <c r="AO64">
        <v>5</v>
      </c>
      <c r="AP64">
        <f>AP55-2</f>
        <v>1</v>
      </c>
      <c r="AQ64">
        <v>0</v>
      </c>
      <c r="AR64" s="27"/>
    </row>
    <row r="65" spans="2:44" x14ac:dyDescent="0.35">
      <c r="B65" s="10" t="s">
        <v>6</v>
      </c>
      <c r="C65">
        <v>12</v>
      </c>
      <c r="D65" s="11"/>
      <c r="E65" s="11"/>
      <c r="F65">
        <f>F56-$F$60</f>
        <v>10</v>
      </c>
      <c r="G65">
        <v>0</v>
      </c>
      <c r="H65" s="12">
        <v>2</v>
      </c>
      <c r="K65" s="10" t="s">
        <v>6</v>
      </c>
      <c r="L65" s="11"/>
      <c r="M65">
        <v>4</v>
      </c>
      <c r="N65" s="11"/>
      <c r="O65">
        <f>O56-$O$60</f>
        <v>10</v>
      </c>
      <c r="P65">
        <v>0</v>
      </c>
      <c r="Q65" s="12">
        <v>2</v>
      </c>
      <c r="AC65" s="10" t="s">
        <v>6</v>
      </c>
      <c r="AD65">
        <v>10</v>
      </c>
      <c r="AE65">
        <v>2</v>
      </c>
      <c r="AF65" s="11"/>
      <c r="AG65">
        <f>AG56-$AG$60</f>
        <v>8</v>
      </c>
      <c r="AH65" s="11"/>
      <c r="AI65" s="12">
        <v>0</v>
      </c>
      <c r="AL65" s="10" t="s">
        <v>6</v>
      </c>
      <c r="AM65">
        <v>12</v>
      </c>
      <c r="AN65">
        <v>4</v>
      </c>
      <c r="AO65" s="11"/>
      <c r="AP65">
        <f>AP56-2</f>
        <v>10</v>
      </c>
      <c r="AQ65">
        <v>0</v>
      </c>
      <c r="AR65" s="27"/>
    </row>
    <row r="66" spans="2:44" x14ac:dyDescent="0.35">
      <c r="B66" s="10" t="s">
        <v>7</v>
      </c>
      <c r="C66">
        <v>0</v>
      </c>
      <c r="D66" s="11"/>
      <c r="E66">
        <v>2</v>
      </c>
      <c r="F66" s="11"/>
      <c r="G66">
        <v>2</v>
      </c>
      <c r="H66" s="12">
        <v>3</v>
      </c>
      <c r="K66" s="10" t="s">
        <v>7</v>
      </c>
      <c r="L66">
        <v>0</v>
      </c>
      <c r="M66">
        <v>2</v>
      </c>
      <c r="N66" s="11"/>
      <c r="O66" s="11"/>
      <c r="P66">
        <v>2</v>
      </c>
      <c r="Q66" s="12">
        <v>3</v>
      </c>
      <c r="AC66" s="10" t="s">
        <v>7</v>
      </c>
      <c r="AD66">
        <v>0</v>
      </c>
      <c r="AE66">
        <v>2</v>
      </c>
      <c r="AF66">
        <v>2</v>
      </c>
      <c r="AG66" s="11"/>
      <c r="AH66" s="11"/>
      <c r="AI66" s="12">
        <v>3</v>
      </c>
      <c r="AL66" s="10" t="s">
        <v>7</v>
      </c>
      <c r="AM66">
        <v>0</v>
      </c>
      <c r="AN66">
        <v>2</v>
      </c>
      <c r="AO66">
        <v>2</v>
      </c>
      <c r="AP66" s="11"/>
      <c r="AQ66">
        <v>2</v>
      </c>
      <c r="AR66" s="27"/>
    </row>
    <row r="67" spans="2:44" x14ac:dyDescent="0.35">
      <c r="B67" s="10" t="s">
        <v>8</v>
      </c>
      <c r="C67">
        <v>4</v>
      </c>
      <c r="D67" s="11"/>
      <c r="E67">
        <v>0</v>
      </c>
      <c r="F67">
        <f>F58-$F$60</f>
        <v>4</v>
      </c>
      <c r="G67" s="11"/>
      <c r="H67" s="12">
        <v>4</v>
      </c>
      <c r="K67" s="10" t="s">
        <v>8</v>
      </c>
      <c r="L67">
        <v>4</v>
      </c>
      <c r="M67">
        <v>0</v>
      </c>
      <c r="N67" s="11"/>
      <c r="O67">
        <f>O58-$O$60</f>
        <v>4</v>
      </c>
      <c r="P67" s="11"/>
      <c r="Q67" s="12">
        <v>4</v>
      </c>
      <c r="AC67" s="10" t="s">
        <v>8</v>
      </c>
      <c r="AD67" s="11"/>
      <c r="AE67">
        <v>0</v>
      </c>
      <c r="AF67">
        <v>0</v>
      </c>
      <c r="AG67">
        <f>AG58-$AG$60</f>
        <v>4</v>
      </c>
      <c r="AH67" s="11"/>
      <c r="AI67" s="12">
        <v>4</v>
      </c>
      <c r="AL67" s="10" t="s">
        <v>8</v>
      </c>
      <c r="AM67">
        <v>4</v>
      </c>
      <c r="AN67">
        <v>0</v>
      </c>
      <c r="AO67">
        <v>0</v>
      </c>
      <c r="AP67">
        <f>AP58-2</f>
        <v>4</v>
      </c>
      <c r="AQ67" s="11"/>
      <c r="AR67" s="27"/>
    </row>
    <row r="68" spans="2:44" x14ac:dyDescent="0.35">
      <c r="B68" s="14" t="s">
        <v>9</v>
      </c>
      <c r="C68" s="15">
        <v>0</v>
      </c>
      <c r="D68" s="28"/>
      <c r="E68" s="15">
        <v>0</v>
      </c>
      <c r="F68" s="15">
        <f>F59-$F$60</f>
        <v>0</v>
      </c>
      <c r="G68" s="15">
        <v>2</v>
      </c>
      <c r="H68" s="16"/>
      <c r="K68" s="14" t="s">
        <v>9</v>
      </c>
      <c r="L68" s="15">
        <v>0</v>
      </c>
      <c r="M68" s="15">
        <v>2</v>
      </c>
      <c r="N68" s="28"/>
      <c r="O68" s="15">
        <f>O59-$O$60</f>
        <v>0</v>
      </c>
      <c r="P68" s="15">
        <v>2</v>
      </c>
      <c r="Q68" s="16"/>
      <c r="AC68" s="14" t="s">
        <v>9</v>
      </c>
      <c r="AD68" s="15">
        <v>0</v>
      </c>
      <c r="AE68" s="15">
        <v>2</v>
      </c>
      <c r="AF68" s="15">
        <v>0</v>
      </c>
      <c r="AG68" s="15">
        <f>AG59-$AG$60</f>
        <v>0</v>
      </c>
      <c r="AH68" s="28"/>
      <c r="AI68" s="16"/>
      <c r="AL68" s="14" t="s">
        <v>9</v>
      </c>
      <c r="AM68" s="28"/>
      <c r="AN68" s="15">
        <v>2</v>
      </c>
      <c r="AO68" s="15">
        <v>0</v>
      </c>
      <c r="AP68" s="15">
        <f>AP59-2</f>
        <v>0</v>
      </c>
      <c r="AQ68" s="15">
        <v>2</v>
      </c>
      <c r="AR68" s="16"/>
    </row>
    <row r="70" spans="2:44" x14ac:dyDescent="0.35">
      <c r="B70" s="23" t="s">
        <v>16</v>
      </c>
      <c r="C70">
        <f>SUM(C39,I46:I51,C60:H60,D44)</f>
        <v>47</v>
      </c>
      <c r="K70" s="23" t="s">
        <v>16</v>
      </c>
      <c r="L70">
        <f>SUM($C$39,R46:R51,L60:Q60,M44)</f>
        <v>45</v>
      </c>
      <c r="T70" s="23" t="s">
        <v>16</v>
      </c>
      <c r="U70" s="24">
        <f>SUM($C$39,AA46:AA51,U60:Z60,V44)</f>
        <v>43</v>
      </c>
      <c r="AC70" s="23" t="s">
        <v>16</v>
      </c>
      <c r="AD70">
        <f>SUM($C$39,AJ46:AJ51,AD60:AI60,AE44)</f>
        <v>51</v>
      </c>
      <c r="AL70" s="23" t="s">
        <v>16</v>
      </c>
      <c r="AM70">
        <f>SUM($C$39,AS46:AS51,AM60:AR60,AN44)</f>
        <v>54</v>
      </c>
    </row>
    <row r="72" spans="2:44" x14ac:dyDescent="0.35">
      <c r="B72" t="s">
        <v>24</v>
      </c>
    </row>
    <row r="74" spans="2:44" x14ac:dyDescent="0.35">
      <c r="B74" t="s">
        <v>25</v>
      </c>
      <c r="C74" s="25" t="s">
        <v>19</v>
      </c>
      <c r="D74" s="26">
        <v>0</v>
      </c>
      <c r="K74" t="s">
        <v>26</v>
      </c>
      <c r="L74" s="25" t="s">
        <v>19</v>
      </c>
      <c r="M74" s="26">
        <v>0</v>
      </c>
      <c r="T74" t="s">
        <v>27</v>
      </c>
      <c r="U74" s="25" t="s">
        <v>19</v>
      </c>
      <c r="V74" s="26">
        <v>0</v>
      </c>
      <c r="AC74" t="s">
        <v>28</v>
      </c>
      <c r="AD74" s="25" t="s">
        <v>19</v>
      </c>
      <c r="AE74" s="26">
        <v>1</v>
      </c>
    </row>
    <row r="75" spans="2:44" x14ac:dyDescent="0.35">
      <c r="B75" s="4"/>
      <c r="C75" s="5" t="s">
        <v>4</v>
      </c>
      <c r="D75" s="5" t="s">
        <v>5</v>
      </c>
      <c r="E75" s="5" t="s">
        <v>6</v>
      </c>
      <c r="F75" s="5" t="s">
        <v>7</v>
      </c>
      <c r="G75" s="5" t="s">
        <v>8</v>
      </c>
      <c r="H75" s="6" t="s">
        <v>9</v>
      </c>
      <c r="I75" s="7" t="s">
        <v>10</v>
      </c>
      <c r="K75" s="4"/>
      <c r="L75" s="5" t="s">
        <v>4</v>
      </c>
      <c r="M75" s="5" t="s">
        <v>5</v>
      </c>
      <c r="N75" s="5" t="s">
        <v>6</v>
      </c>
      <c r="O75" s="5" t="s">
        <v>7</v>
      </c>
      <c r="P75" s="5" t="s">
        <v>8</v>
      </c>
      <c r="Q75" s="6" t="s">
        <v>9</v>
      </c>
      <c r="R75" s="7" t="s">
        <v>10</v>
      </c>
      <c r="T75" s="4"/>
      <c r="U75" s="5" t="s">
        <v>4</v>
      </c>
      <c r="V75" s="5" t="s">
        <v>5</v>
      </c>
      <c r="W75" s="5" t="s">
        <v>6</v>
      </c>
      <c r="X75" s="5" t="s">
        <v>7</v>
      </c>
      <c r="Y75" s="5" t="s">
        <v>8</v>
      </c>
      <c r="Z75" s="6" t="s">
        <v>9</v>
      </c>
      <c r="AA75" s="7" t="s">
        <v>10</v>
      </c>
      <c r="AC75" s="4"/>
      <c r="AD75" s="5" t="s">
        <v>4</v>
      </c>
      <c r="AE75" s="5" t="s">
        <v>5</v>
      </c>
      <c r="AF75" s="5" t="s">
        <v>6</v>
      </c>
      <c r="AG75" s="5" t="s">
        <v>7</v>
      </c>
      <c r="AH75" s="5" t="s">
        <v>8</v>
      </c>
      <c r="AI75" s="6" t="s">
        <v>9</v>
      </c>
      <c r="AJ75" s="7" t="s">
        <v>10</v>
      </c>
    </row>
    <row r="76" spans="2:44" x14ac:dyDescent="0.35">
      <c r="B76" s="10" t="s">
        <v>4</v>
      </c>
      <c r="C76" s="11"/>
      <c r="D76" s="11"/>
      <c r="E76" s="11"/>
      <c r="F76" s="11"/>
      <c r="G76" s="11"/>
      <c r="H76" s="27"/>
      <c r="I76">
        <f>MIN(D76:H76)</f>
        <v>0</v>
      </c>
      <c r="K76" s="10" t="s">
        <v>4</v>
      </c>
      <c r="L76" s="11"/>
      <c r="M76" s="11"/>
      <c r="N76" s="11"/>
      <c r="O76" s="11"/>
      <c r="P76" s="11"/>
      <c r="Q76" s="27"/>
      <c r="R76">
        <f>MIN(M76:Q76)</f>
        <v>0</v>
      </c>
      <c r="T76" s="10" t="s">
        <v>4</v>
      </c>
      <c r="U76" s="11"/>
      <c r="V76" s="11"/>
      <c r="W76" s="11"/>
      <c r="X76" s="11"/>
      <c r="Y76" s="11"/>
      <c r="Z76" s="27"/>
      <c r="AA76">
        <f>MIN(V76:Z76)</f>
        <v>0</v>
      </c>
      <c r="AC76" s="10" t="s">
        <v>4</v>
      </c>
      <c r="AD76" s="11"/>
      <c r="AE76" s="11"/>
      <c r="AF76" s="11"/>
      <c r="AG76" s="11"/>
      <c r="AH76" s="11"/>
      <c r="AI76" s="27"/>
      <c r="AJ76">
        <f>MIN(AE76:AI76)</f>
        <v>0</v>
      </c>
    </row>
    <row r="77" spans="2:44" x14ac:dyDescent="0.35">
      <c r="B77" s="10" t="s">
        <v>5</v>
      </c>
      <c r="C77" s="11"/>
      <c r="D77" s="11"/>
      <c r="E77">
        <v>5</v>
      </c>
      <c r="F77" s="11"/>
      <c r="G77">
        <v>0</v>
      </c>
      <c r="H77" s="12">
        <v>0</v>
      </c>
      <c r="I77">
        <f>MIN(C77:H77)</f>
        <v>0</v>
      </c>
      <c r="K77" s="10" t="s">
        <v>5</v>
      </c>
      <c r="L77">
        <v>1</v>
      </c>
      <c r="M77" s="11"/>
      <c r="N77" s="11"/>
      <c r="O77" s="11"/>
      <c r="P77">
        <v>0</v>
      </c>
      <c r="Q77" s="12">
        <v>0</v>
      </c>
      <c r="R77">
        <f>MIN(L77:Q77)</f>
        <v>0</v>
      </c>
      <c r="T77" s="10" t="s">
        <v>5</v>
      </c>
      <c r="U77">
        <v>1</v>
      </c>
      <c r="V77" s="11"/>
      <c r="W77">
        <v>5</v>
      </c>
      <c r="X77" s="11"/>
      <c r="Y77" s="11"/>
      <c r="Z77" s="12">
        <v>0</v>
      </c>
      <c r="AA77">
        <f>MIN(U77:Z77)</f>
        <v>0</v>
      </c>
      <c r="AC77" s="10" t="s">
        <v>5</v>
      </c>
      <c r="AD77">
        <v>1</v>
      </c>
      <c r="AE77" s="11"/>
      <c r="AF77">
        <v>5</v>
      </c>
      <c r="AG77" s="11"/>
      <c r="AH77">
        <v>0</v>
      </c>
      <c r="AI77" s="27"/>
      <c r="AJ77">
        <f>MIN(AD77:AI77)</f>
        <v>0</v>
      </c>
    </row>
    <row r="78" spans="2:44" x14ac:dyDescent="0.35">
      <c r="B78" s="10" t="s">
        <v>6</v>
      </c>
      <c r="C78">
        <v>12</v>
      </c>
      <c r="D78" s="11"/>
      <c r="E78" s="11"/>
      <c r="F78" s="11"/>
      <c r="G78">
        <v>0</v>
      </c>
      <c r="H78" s="12">
        <v>2</v>
      </c>
      <c r="I78">
        <f t="shared" ref="I78:I81" si="23">MIN(C78:H78)</f>
        <v>0</v>
      </c>
      <c r="K78" s="10" t="s">
        <v>6</v>
      </c>
      <c r="L78" s="11"/>
      <c r="M78">
        <v>4</v>
      </c>
      <c r="N78" s="11"/>
      <c r="O78" s="11"/>
      <c r="P78">
        <v>0</v>
      </c>
      <c r="Q78" s="12">
        <v>2</v>
      </c>
      <c r="R78">
        <f t="shared" ref="R78:R81" si="24">MIN(L78:Q78)</f>
        <v>0</v>
      </c>
      <c r="T78" s="10" t="s">
        <v>6</v>
      </c>
      <c r="U78">
        <v>12</v>
      </c>
      <c r="V78">
        <v>4</v>
      </c>
      <c r="W78" s="11"/>
      <c r="X78" s="11"/>
      <c r="Y78" s="11"/>
      <c r="Z78" s="12">
        <v>2</v>
      </c>
      <c r="AA78">
        <f t="shared" ref="AA78:AA81" si="25">MIN(U78:Z78)</f>
        <v>2</v>
      </c>
      <c r="AC78" s="10" t="s">
        <v>6</v>
      </c>
      <c r="AD78">
        <v>12</v>
      </c>
      <c r="AE78">
        <v>4</v>
      </c>
      <c r="AF78" s="11"/>
      <c r="AG78" s="11"/>
      <c r="AH78">
        <v>0</v>
      </c>
      <c r="AI78" s="27"/>
      <c r="AJ78">
        <f t="shared" ref="AJ78:AJ81" si="26">MIN(AD78:AI78)</f>
        <v>0</v>
      </c>
    </row>
    <row r="79" spans="2:44" x14ac:dyDescent="0.35">
      <c r="B79" s="10" t="s">
        <v>7</v>
      </c>
      <c r="C79" s="11"/>
      <c r="D79" s="11"/>
      <c r="E79" s="11"/>
      <c r="F79" s="11"/>
      <c r="G79" s="11"/>
      <c r="H79" s="27"/>
      <c r="I79">
        <f t="shared" si="23"/>
        <v>0</v>
      </c>
      <c r="K79" s="10" t="s">
        <v>7</v>
      </c>
      <c r="L79" s="11"/>
      <c r="M79" s="11"/>
      <c r="N79" s="11"/>
      <c r="O79" s="11"/>
      <c r="P79" s="11"/>
      <c r="Q79" s="27"/>
      <c r="R79">
        <f t="shared" si="24"/>
        <v>0</v>
      </c>
      <c r="T79" s="10" t="s">
        <v>7</v>
      </c>
      <c r="U79" s="11"/>
      <c r="V79" s="11"/>
      <c r="W79" s="11"/>
      <c r="X79" s="11"/>
      <c r="Y79" s="11"/>
      <c r="Z79" s="27"/>
      <c r="AA79">
        <f t="shared" si="25"/>
        <v>0</v>
      </c>
      <c r="AC79" s="10" t="s">
        <v>7</v>
      </c>
      <c r="AD79" s="11"/>
      <c r="AE79" s="11"/>
      <c r="AF79" s="11"/>
      <c r="AG79" s="11"/>
      <c r="AH79" s="11"/>
      <c r="AI79" s="27"/>
      <c r="AJ79">
        <f t="shared" si="26"/>
        <v>0</v>
      </c>
    </row>
    <row r="80" spans="2:44" x14ac:dyDescent="0.35">
      <c r="B80" s="10" t="s">
        <v>8</v>
      </c>
      <c r="C80">
        <v>4</v>
      </c>
      <c r="D80" s="11"/>
      <c r="E80">
        <v>0</v>
      </c>
      <c r="F80" s="11"/>
      <c r="G80" s="11"/>
      <c r="H80" s="12">
        <v>4</v>
      </c>
      <c r="I80">
        <f t="shared" si="23"/>
        <v>0</v>
      </c>
      <c r="K80" s="10" t="s">
        <v>8</v>
      </c>
      <c r="L80">
        <v>4</v>
      </c>
      <c r="M80">
        <v>0</v>
      </c>
      <c r="N80" s="11"/>
      <c r="O80" s="11"/>
      <c r="P80" s="11"/>
      <c r="Q80" s="12">
        <v>4</v>
      </c>
      <c r="R80">
        <f t="shared" si="24"/>
        <v>0</v>
      </c>
      <c r="T80" s="10" t="s">
        <v>8</v>
      </c>
      <c r="U80" s="11"/>
      <c r="V80">
        <v>0</v>
      </c>
      <c r="W80">
        <v>0</v>
      </c>
      <c r="X80" s="11"/>
      <c r="Y80" s="11"/>
      <c r="Z80" s="12">
        <v>4</v>
      </c>
      <c r="AA80">
        <f t="shared" si="25"/>
        <v>0</v>
      </c>
      <c r="AC80" s="10" t="s">
        <v>8</v>
      </c>
      <c r="AD80">
        <v>4</v>
      </c>
      <c r="AE80">
        <v>0</v>
      </c>
      <c r="AF80">
        <v>0</v>
      </c>
      <c r="AG80" s="11"/>
      <c r="AH80" s="11"/>
      <c r="AI80" s="27"/>
      <c r="AJ80">
        <f t="shared" si="26"/>
        <v>0</v>
      </c>
    </row>
    <row r="81" spans="2:36" x14ac:dyDescent="0.35">
      <c r="B81" s="14" t="s">
        <v>9</v>
      </c>
      <c r="C81" s="15">
        <v>0</v>
      </c>
      <c r="D81" s="28"/>
      <c r="E81" s="15">
        <v>0</v>
      </c>
      <c r="F81" s="28"/>
      <c r="G81" s="15">
        <v>2</v>
      </c>
      <c r="H81" s="16"/>
      <c r="I81">
        <f t="shared" si="23"/>
        <v>0</v>
      </c>
      <c r="K81" s="14" t="s">
        <v>9</v>
      </c>
      <c r="L81" s="15">
        <v>0</v>
      </c>
      <c r="M81" s="15">
        <v>2</v>
      </c>
      <c r="N81" s="28"/>
      <c r="O81" s="28"/>
      <c r="P81" s="15">
        <v>2</v>
      </c>
      <c r="Q81" s="16"/>
      <c r="R81">
        <f t="shared" si="24"/>
        <v>0</v>
      </c>
      <c r="T81" s="14" t="s">
        <v>9</v>
      </c>
      <c r="U81" s="15">
        <v>0</v>
      </c>
      <c r="V81" s="15">
        <v>2</v>
      </c>
      <c r="W81" s="15">
        <v>0</v>
      </c>
      <c r="X81" s="28"/>
      <c r="Y81" s="28"/>
      <c r="Z81" s="16"/>
      <c r="AA81">
        <f t="shared" si="25"/>
        <v>0</v>
      </c>
      <c r="AC81" s="14" t="s">
        <v>9</v>
      </c>
      <c r="AD81" s="28"/>
      <c r="AE81" s="15">
        <v>2</v>
      </c>
      <c r="AF81" s="15">
        <v>0</v>
      </c>
      <c r="AG81" s="28"/>
      <c r="AH81" s="15">
        <v>2</v>
      </c>
      <c r="AI81" s="16"/>
      <c r="AJ81">
        <f t="shared" si="26"/>
        <v>0</v>
      </c>
    </row>
    <row r="83" spans="2:36" x14ac:dyDescent="0.35">
      <c r="B83" s="4"/>
      <c r="C83" s="5" t="s">
        <v>4</v>
      </c>
      <c r="D83" s="5" t="s">
        <v>5</v>
      </c>
      <c r="E83" s="5" t="s">
        <v>6</v>
      </c>
      <c r="F83" s="5" t="s">
        <v>7</v>
      </c>
      <c r="G83" s="5" t="s">
        <v>8</v>
      </c>
      <c r="H83" s="6" t="s">
        <v>9</v>
      </c>
      <c r="K83" s="4"/>
      <c r="L83" s="5" t="s">
        <v>4</v>
      </c>
      <c r="M83" s="5" t="s">
        <v>5</v>
      </c>
      <c r="N83" s="5" t="s">
        <v>6</v>
      </c>
      <c r="O83" s="5" t="s">
        <v>7</v>
      </c>
      <c r="P83" s="5" t="s">
        <v>8</v>
      </c>
      <c r="Q83" s="6" t="s">
        <v>9</v>
      </c>
      <c r="T83" s="4"/>
      <c r="U83" s="5" t="s">
        <v>4</v>
      </c>
      <c r="V83" s="5" t="s">
        <v>5</v>
      </c>
      <c r="W83" s="5" t="s">
        <v>6</v>
      </c>
      <c r="X83" s="5" t="s">
        <v>7</v>
      </c>
      <c r="Y83" s="5" t="s">
        <v>8</v>
      </c>
      <c r="Z83" s="6" t="s">
        <v>9</v>
      </c>
      <c r="AC83" s="4"/>
      <c r="AD83" s="5" t="s">
        <v>4</v>
      </c>
      <c r="AE83" s="5" t="s">
        <v>5</v>
      </c>
      <c r="AF83" s="5" t="s">
        <v>6</v>
      </c>
      <c r="AG83" s="5" t="s">
        <v>7</v>
      </c>
      <c r="AH83" s="5" t="s">
        <v>8</v>
      </c>
      <c r="AI83" s="6" t="s">
        <v>9</v>
      </c>
    </row>
    <row r="84" spans="2:36" x14ac:dyDescent="0.35">
      <c r="B84" s="10" t="s">
        <v>4</v>
      </c>
      <c r="C84" s="11"/>
      <c r="D84" s="11"/>
      <c r="E84" s="11"/>
      <c r="F84" s="11"/>
      <c r="G84" s="11"/>
      <c r="H84" s="27"/>
      <c r="K84" s="10" t="s">
        <v>4</v>
      </c>
      <c r="L84" s="11"/>
      <c r="M84" s="11"/>
      <c r="N84" s="11"/>
      <c r="O84" s="11"/>
      <c r="P84" s="11"/>
      <c r="Q84" s="27"/>
      <c r="T84" s="10" t="s">
        <v>4</v>
      </c>
      <c r="U84" s="11"/>
      <c r="V84" s="11"/>
      <c r="W84" s="11"/>
      <c r="X84" s="11"/>
      <c r="Y84" s="11"/>
      <c r="Z84" s="27"/>
      <c r="AC84" s="10" t="s">
        <v>4</v>
      </c>
      <c r="AD84" s="11"/>
      <c r="AE84" s="11"/>
      <c r="AF84" s="11"/>
      <c r="AG84" s="11"/>
      <c r="AH84" s="11"/>
      <c r="AI84" s="27"/>
    </row>
    <row r="85" spans="2:36" x14ac:dyDescent="0.35">
      <c r="B85" s="10" t="s">
        <v>5</v>
      </c>
      <c r="C85" s="11"/>
      <c r="D85" s="11"/>
      <c r="E85">
        <v>5</v>
      </c>
      <c r="F85" s="11"/>
      <c r="G85">
        <v>0</v>
      </c>
      <c r="H85" s="12">
        <v>0</v>
      </c>
      <c r="K85" s="10" t="s">
        <v>5</v>
      </c>
      <c r="L85">
        <v>1</v>
      </c>
      <c r="M85" s="11"/>
      <c r="N85" s="11"/>
      <c r="O85" s="11"/>
      <c r="P85">
        <v>0</v>
      </c>
      <c r="Q85" s="12">
        <v>0</v>
      </c>
      <c r="T85" s="10" t="s">
        <v>5</v>
      </c>
      <c r="U85">
        <v>1</v>
      </c>
      <c r="V85" s="11"/>
      <c r="W85">
        <v>5</v>
      </c>
      <c r="X85" s="11"/>
      <c r="Y85" s="11"/>
      <c r="Z85" s="12">
        <v>0</v>
      </c>
      <c r="AC85" s="10" t="s">
        <v>5</v>
      </c>
      <c r="AD85">
        <v>1</v>
      </c>
      <c r="AE85" s="11"/>
      <c r="AF85">
        <v>5</v>
      </c>
      <c r="AG85" s="11"/>
      <c r="AH85">
        <v>0</v>
      </c>
      <c r="AI85" s="27"/>
    </row>
    <row r="86" spans="2:36" x14ac:dyDescent="0.35">
      <c r="B86" s="10" t="s">
        <v>6</v>
      </c>
      <c r="C86">
        <v>12</v>
      </c>
      <c r="D86" s="11"/>
      <c r="E86" s="11"/>
      <c r="F86" s="11"/>
      <c r="G86">
        <v>0</v>
      </c>
      <c r="H86" s="12">
        <v>2</v>
      </c>
      <c r="K86" s="10" t="s">
        <v>6</v>
      </c>
      <c r="L86" s="11"/>
      <c r="M86">
        <v>4</v>
      </c>
      <c r="N86" s="11"/>
      <c r="O86" s="11"/>
      <c r="P86">
        <v>0</v>
      </c>
      <c r="Q86" s="12">
        <v>2</v>
      </c>
      <c r="T86" s="10" t="s">
        <v>6</v>
      </c>
      <c r="U86">
        <f>U78-$AA$78</f>
        <v>10</v>
      </c>
      <c r="V86">
        <f>V78-$AA$78</f>
        <v>2</v>
      </c>
      <c r="W86" s="11"/>
      <c r="X86" s="11"/>
      <c r="Y86" s="11"/>
      <c r="Z86" s="12">
        <f>Z78-$AA$78</f>
        <v>0</v>
      </c>
      <c r="AC86" s="10" t="s">
        <v>6</v>
      </c>
      <c r="AD86">
        <v>12</v>
      </c>
      <c r="AE86">
        <v>4</v>
      </c>
      <c r="AF86" s="11"/>
      <c r="AG86" s="11"/>
      <c r="AH86">
        <v>0</v>
      </c>
      <c r="AI86" s="27"/>
    </row>
    <row r="87" spans="2:36" x14ac:dyDescent="0.35">
      <c r="B87" s="10" t="s">
        <v>7</v>
      </c>
      <c r="C87" s="11"/>
      <c r="D87" s="11"/>
      <c r="E87" s="11"/>
      <c r="F87" s="11"/>
      <c r="G87" s="11"/>
      <c r="H87" s="27"/>
      <c r="K87" s="10" t="s">
        <v>7</v>
      </c>
      <c r="L87" s="11"/>
      <c r="M87" s="11"/>
      <c r="N87" s="11"/>
      <c r="O87" s="11"/>
      <c r="P87" s="11"/>
      <c r="Q87" s="27"/>
      <c r="T87" s="10" t="s">
        <v>7</v>
      </c>
      <c r="U87" s="11"/>
      <c r="V87" s="11"/>
      <c r="W87" s="11"/>
      <c r="X87" s="11"/>
      <c r="Y87" s="11"/>
      <c r="Z87" s="27"/>
      <c r="AC87" s="10" t="s">
        <v>7</v>
      </c>
      <c r="AD87" s="11"/>
      <c r="AE87" s="11"/>
      <c r="AF87" s="11"/>
      <c r="AG87" s="11"/>
      <c r="AH87" s="11"/>
      <c r="AI87" s="27"/>
    </row>
    <row r="88" spans="2:36" x14ac:dyDescent="0.35">
      <c r="B88" s="10" t="s">
        <v>8</v>
      </c>
      <c r="C88">
        <v>4</v>
      </c>
      <c r="D88" s="11"/>
      <c r="E88">
        <v>0</v>
      </c>
      <c r="F88" s="11"/>
      <c r="G88" s="11"/>
      <c r="H88" s="12">
        <v>4</v>
      </c>
      <c r="K88" s="10" t="s">
        <v>8</v>
      </c>
      <c r="L88">
        <v>4</v>
      </c>
      <c r="M88">
        <v>0</v>
      </c>
      <c r="N88" s="11"/>
      <c r="O88" s="11"/>
      <c r="P88" s="11"/>
      <c r="Q88" s="12">
        <v>4</v>
      </c>
      <c r="T88" s="10" t="s">
        <v>8</v>
      </c>
      <c r="U88" s="11"/>
      <c r="V88">
        <v>0</v>
      </c>
      <c r="W88">
        <v>0</v>
      </c>
      <c r="X88" s="11"/>
      <c r="Y88" s="11"/>
      <c r="Z88" s="12">
        <v>4</v>
      </c>
      <c r="AC88" s="10" t="s">
        <v>8</v>
      </c>
      <c r="AD88">
        <v>4</v>
      </c>
      <c r="AE88">
        <v>0</v>
      </c>
      <c r="AF88">
        <v>0</v>
      </c>
      <c r="AG88" s="11"/>
      <c r="AH88" s="11"/>
      <c r="AI88" s="27"/>
    </row>
    <row r="89" spans="2:36" x14ac:dyDescent="0.35">
      <c r="B89" s="14" t="s">
        <v>9</v>
      </c>
      <c r="C89" s="15">
        <v>0</v>
      </c>
      <c r="D89" s="28"/>
      <c r="E89" s="15">
        <v>0</v>
      </c>
      <c r="F89" s="28"/>
      <c r="G89" s="15">
        <v>2</v>
      </c>
      <c r="H89" s="16"/>
      <c r="K89" s="14" t="s">
        <v>9</v>
      </c>
      <c r="L89" s="15">
        <v>0</v>
      </c>
      <c r="M89" s="15">
        <v>2</v>
      </c>
      <c r="N89" s="28"/>
      <c r="O89" s="28"/>
      <c r="P89" s="15">
        <v>2</v>
      </c>
      <c r="Q89" s="16"/>
      <c r="T89" s="14" t="s">
        <v>9</v>
      </c>
      <c r="U89" s="15">
        <v>0</v>
      </c>
      <c r="V89" s="15">
        <v>2</v>
      </c>
      <c r="W89" s="15">
        <v>0</v>
      </c>
      <c r="X89" s="28"/>
      <c r="Y89" s="28"/>
      <c r="Z89" s="16"/>
      <c r="AC89" s="14" t="s">
        <v>9</v>
      </c>
      <c r="AD89" s="28"/>
      <c r="AE89" s="15">
        <v>2</v>
      </c>
      <c r="AF89" s="15">
        <v>0</v>
      </c>
      <c r="AG89" s="28"/>
      <c r="AH89" s="15">
        <v>2</v>
      </c>
      <c r="AI89" s="16"/>
    </row>
    <row r="90" spans="2:36" x14ac:dyDescent="0.35">
      <c r="B90" s="7" t="s">
        <v>10</v>
      </c>
      <c r="C90">
        <f>MIN(C84:C89)</f>
        <v>0</v>
      </c>
      <c r="D90">
        <f t="shared" ref="D90:H90" si="27">MIN(D84:D89)</f>
        <v>0</v>
      </c>
      <c r="E90">
        <f t="shared" si="27"/>
        <v>0</v>
      </c>
      <c r="F90">
        <f t="shared" si="27"/>
        <v>0</v>
      </c>
      <c r="G90">
        <f t="shared" si="27"/>
        <v>0</v>
      </c>
      <c r="H90">
        <f t="shared" si="27"/>
        <v>0</v>
      </c>
      <c r="K90" s="7" t="s">
        <v>10</v>
      </c>
      <c r="L90">
        <f>MIN(L84:L89)</f>
        <v>0</v>
      </c>
      <c r="M90">
        <f t="shared" ref="M90:Q90" si="28">MIN(M84:M89)</f>
        <v>0</v>
      </c>
      <c r="N90">
        <f t="shared" si="28"/>
        <v>0</v>
      </c>
      <c r="O90">
        <f t="shared" si="28"/>
        <v>0</v>
      </c>
      <c r="P90">
        <f t="shared" si="28"/>
        <v>0</v>
      </c>
      <c r="Q90">
        <f t="shared" si="28"/>
        <v>0</v>
      </c>
      <c r="T90" s="7" t="s">
        <v>10</v>
      </c>
      <c r="U90">
        <f>MIN(U84:U89)</f>
        <v>0</v>
      </c>
      <c r="V90">
        <f t="shared" ref="V90:Z90" si="29">MIN(V84:V89)</f>
        <v>0</v>
      </c>
      <c r="W90">
        <f t="shared" si="29"/>
        <v>0</v>
      </c>
      <c r="X90">
        <f t="shared" si="29"/>
        <v>0</v>
      </c>
      <c r="Y90">
        <f t="shared" si="29"/>
        <v>0</v>
      </c>
      <c r="Z90">
        <f t="shared" si="29"/>
        <v>0</v>
      </c>
      <c r="AC90" s="7" t="s">
        <v>10</v>
      </c>
      <c r="AD90">
        <f>MIN(AD84:AD89)</f>
        <v>1</v>
      </c>
      <c r="AE90">
        <f t="shared" ref="AE90:AI90" si="30">MIN(AE84:AE89)</f>
        <v>0</v>
      </c>
      <c r="AF90">
        <f t="shared" si="30"/>
        <v>0</v>
      </c>
      <c r="AG90">
        <f t="shared" si="30"/>
        <v>0</v>
      </c>
      <c r="AH90">
        <f t="shared" si="30"/>
        <v>0</v>
      </c>
      <c r="AI90">
        <f t="shared" si="30"/>
        <v>0</v>
      </c>
    </row>
    <row r="92" spans="2:36" x14ac:dyDescent="0.35">
      <c r="AC92" s="4"/>
      <c r="AD92" s="5" t="s">
        <v>4</v>
      </c>
      <c r="AE92" s="5" t="s">
        <v>5</v>
      </c>
      <c r="AF92" s="5" t="s">
        <v>6</v>
      </c>
      <c r="AG92" s="5" t="s">
        <v>7</v>
      </c>
      <c r="AH92" s="5" t="s">
        <v>8</v>
      </c>
      <c r="AI92" s="6" t="s">
        <v>9</v>
      </c>
    </row>
    <row r="93" spans="2:36" x14ac:dyDescent="0.35">
      <c r="AC93" s="10" t="s">
        <v>4</v>
      </c>
      <c r="AD93" s="11"/>
      <c r="AE93" s="11"/>
      <c r="AF93" s="11"/>
      <c r="AG93" s="11"/>
      <c r="AH93" s="11"/>
      <c r="AI93" s="27"/>
    </row>
    <row r="94" spans="2:36" x14ac:dyDescent="0.35">
      <c r="AC94" s="10" t="s">
        <v>5</v>
      </c>
      <c r="AD94">
        <f>AD85-1</f>
        <v>0</v>
      </c>
      <c r="AE94" s="11"/>
      <c r="AF94">
        <v>5</v>
      </c>
      <c r="AG94" s="11"/>
      <c r="AH94">
        <v>0</v>
      </c>
      <c r="AI94" s="27"/>
    </row>
    <row r="95" spans="2:36" x14ac:dyDescent="0.35">
      <c r="AC95" s="10" t="s">
        <v>6</v>
      </c>
      <c r="AD95">
        <f>AD86-1</f>
        <v>11</v>
      </c>
      <c r="AE95">
        <v>4</v>
      </c>
      <c r="AF95" s="11"/>
      <c r="AG95" s="11"/>
      <c r="AH95">
        <v>0</v>
      </c>
      <c r="AI95" s="27"/>
    </row>
    <row r="96" spans="2:36" x14ac:dyDescent="0.35">
      <c r="AC96" s="10" t="s">
        <v>7</v>
      </c>
      <c r="AD96" s="11"/>
      <c r="AE96" s="11"/>
      <c r="AF96" s="11"/>
      <c r="AG96" s="11"/>
      <c r="AH96" s="11"/>
      <c r="AI96" s="27"/>
    </row>
    <row r="97" spans="2:35" x14ac:dyDescent="0.35">
      <c r="AC97" s="10" t="s">
        <v>8</v>
      </c>
      <c r="AD97">
        <f>AD88-1</f>
        <v>3</v>
      </c>
      <c r="AE97">
        <v>0</v>
      </c>
      <c r="AF97">
        <v>0</v>
      </c>
      <c r="AG97" s="11"/>
      <c r="AH97" s="11"/>
      <c r="AI97" s="27"/>
    </row>
    <row r="98" spans="2:35" x14ac:dyDescent="0.35">
      <c r="AC98" s="14" t="s">
        <v>9</v>
      </c>
      <c r="AD98" s="28"/>
      <c r="AE98" s="15">
        <v>2</v>
      </c>
      <c r="AF98" s="15">
        <v>0</v>
      </c>
      <c r="AG98" s="28"/>
      <c r="AH98" s="15">
        <v>2</v>
      </c>
      <c r="AI98" s="16"/>
    </row>
    <row r="100" spans="2:35" x14ac:dyDescent="0.35">
      <c r="B100" s="23" t="s">
        <v>16</v>
      </c>
      <c r="C100">
        <f>SUM(U70,I76:I81,C90:H90,D74)</f>
        <v>43</v>
      </c>
      <c r="K100" s="23" t="s">
        <v>16</v>
      </c>
      <c r="L100" s="24">
        <f>SUM($U$70,R76:R81,L90:Q90,M74)</f>
        <v>43</v>
      </c>
      <c r="T100" s="23" t="s">
        <v>16</v>
      </c>
      <c r="U100">
        <f>SUM($U$70,AA76:AA81,U90:Z90,V74)</f>
        <v>45</v>
      </c>
      <c r="AC100" s="23" t="s">
        <v>16</v>
      </c>
      <c r="AD100">
        <f>SUM($U$70,AJ76:AJ81,AD90:AI90,AE74)</f>
        <v>45</v>
      </c>
    </row>
    <row r="102" spans="2:35" x14ac:dyDescent="0.35">
      <c r="B102" t="s">
        <v>29</v>
      </c>
    </row>
    <row r="104" spans="2:35" x14ac:dyDescent="0.35">
      <c r="B104" t="s">
        <v>30</v>
      </c>
      <c r="C104" s="25" t="s">
        <v>19</v>
      </c>
      <c r="D104" s="26">
        <v>4</v>
      </c>
      <c r="K104" t="s">
        <v>31</v>
      </c>
      <c r="L104" s="25" t="s">
        <v>19</v>
      </c>
      <c r="M104" s="26">
        <v>0</v>
      </c>
      <c r="T104" t="s">
        <v>32</v>
      </c>
      <c r="U104" s="25" t="s">
        <v>19</v>
      </c>
      <c r="V104" s="26">
        <v>2</v>
      </c>
    </row>
    <row r="105" spans="2:35" x14ac:dyDescent="0.35">
      <c r="B105" s="4"/>
      <c r="C105" s="5" t="s">
        <v>4</v>
      </c>
      <c r="D105" s="5" t="s">
        <v>5</v>
      </c>
      <c r="E105" s="5" t="s">
        <v>6</v>
      </c>
      <c r="F105" s="5" t="s">
        <v>7</v>
      </c>
      <c r="G105" s="5" t="s">
        <v>8</v>
      </c>
      <c r="H105" s="6" t="s">
        <v>9</v>
      </c>
      <c r="I105" s="7" t="s">
        <v>10</v>
      </c>
      <c r="K105" s="4"/>
      <c r="L105" s="5" t="s">
        <v>4</v>
      </c>
      <c r="M105" s="5" t="s">
        <v>5</v>
      </c>
      <c r="N105" s="5" t="s">
        <v>6</v>
      </c>
      <c r="O105" s="5" t="s">
        <v>7</v>
      </c>
      <c r="P105" s="5" t="s">
        <v>8</v>
      </c>
      <c r="Q105" s="6" t="s">
        <v>9</v>
      </c>
      <c r="R105" s="7" t="s">
        <v>10</v>
      </c>
      <c r="T105" s="4"/>
      <c r="U105" s="5" t="s">
        <v>4</v>
      </c>
      <c r="V105" s="5" t="s">
        <v>5</v>
      </c>
      <c r="W105" s="5" t="s">
        <v>6</v>
      </c>
      <c r="X105" s="5" t="s">
        <v>7</v>
      </c>
      <c r="Y105" s="5" t="s">
        <v>8</v>
      </c>
      <c r="Z105" s="6" t="s">
        <v>9</v>
      </c>
      <c r="AA105" s="7" t="s">
        <v>10</v>
      </c>
    </row>
    <row r="106" spans="2:35" x14ac:dyDescent="0.35">
      <c r="B106" s="10" t="s">
        <v>4</v>
      </c>
      <c r="C106" s="11"/>
      <c r="D106" s="11"/>
      <c r="E106" s="11"/>
      <c r="F106" s="11"/>
      <c r="G106" s="11"/>
      <c r="H106" s="27"/>
      <c r="I106">
        <f>MIN(D106:H106)</f>
        <v>0</v>
      </c>
      <c r="K106" s="10" t="s">
        <v>4</v>
      </c>
      <c r="L106" s="11"/>
      <c r="M106" s="11"/>
      <c r="N106" s="11"/>
      <c r="O106" s="11"/>
      <c r="P106" s="11"/>
      <c r="Q106" s="27"/>
      <c r="R106">
        <f>MIN(M106:Q106)</f>
        <v>0</v>
      </c>
      <c r="T106" s="10" t="s">
        <v>4</v>
      </c>
      <c r="U106" s="11"/>
      <c r="V106" s="11"/>
      <c r="W106" s="11"/>
      <c r="X106" s="11"/>
      <c r="Y106" s="11"/>
      <c r="Z106" s="27"/>
      <c r="AA106">
        <f>MIN(V106:Z106)</f>
        <v>0</v>
      </c>
    </row>
    <row r="107" spans="2:35" x14ac:dyDescent="0.35">
      <c r="B107" s="10" t="s">
        <v>5</v>
      </c>
      <c r="C107" s="11"/>
      <c r="D107" s="11"/>
      <c r="E107" s="11"/>
      <c r="F107" s="11"/>
      <c r="G107">
        <v>0</v>
      </c>
      <c r="H107" s="12">
        <v>0</v>
      </c>
      <c r="I107">
        <f>MIN(C107:H107)</f>
        <v>0</v>
      </c>
      <c r="K107" s="10" t="s">
        <v>5</v>
      </c>
      <c r="L107">
        <v>1</v>
      </c>
      <c r="M107" s="11"/>
      <c r="N107" s="11"/>
      <c r="O107" s="11"/>
      <c r="P107" s="11"/>
      <c r="Q107" s="12">
        <v>0</v>
      </c>
      <c r="R107">
        <f>MIN(L107:Q107)</f>
        <v>0</v>
      </c>
      <c r="T107" s="10" t="s">
        <v>5</v>
      </c>
      <c r="U107">
        <v>1</v>
      </c>
      <c r="V107" s="11"/>
      <c r="W107" s="11"/>
      <c r="X107" s="11"/>
      <c r="Y107">
        <v>0</v>
      </c>
      <c r="Z107" s="27"/>
      <c r="AA107">
        <f>MIN(U107:Z107)</f>
        <v>0</v>
      </c>
    </row>
    <row r="108" spans="2:35" x14ac:dyDescent="0.35">
      <c r="B108" s="10" t="s">
        <v>6</v>
      </c>
      <c r="C108" s="11"/>
      <c r="D108" s="11"/>
      <c r="E108" s="11"/>
      <c r="F108" s="11"/>
      <c r="G108" s="11"/>
      <c r="H108" s="27"/>
      <c r="I108">
        <f t="shared" ref="I108:I111" si="31">MIN(C108:H108)</f>
        <v>0</v>
      </c>
      <c r="K108" s="10" t="s">
        <v>6</v>
      </c>
      <c r="L108" s="11"/>
      <c r="M108" s="11"/>
      <c r="N108" s="11"/>
      <c r="O108" s="11"/>
      <c r="P108" s="11"/>
      <c r="Q108" s="27"/>
      <c r="R108">
        <f t="shared" ref="R108:R111" si="32">MIN(L108:Q108)</f>
        <v>0</v>
      </c>
      <c r="T108" s="10" t="s">
        <v>6</v>
      </c>
      <c r="U108" s="11"/>
      <c r="V108" s="11"/>
      <c r="W108" s="11"/>
      <c r="X108" s="11"/>
      <c r="Y108" s="11"/>
      <c r="Z108" s="27"/>
      <c r="AA108">
        <f t="shared" ref="AA108:AA111" si="33">MIN(U108:Z108)</f>
        <v>0</v>
      </c>
    </row>
    <row r="109" spans="2:35" x14ac:dyDescent="0.35">
      <c r="B109" s="10" t="s">
        <v>7</v>
      </c>
      <c r="C109" s="11"/>
      <c r="D109" s="11"/>
      <c r="E109" s="11"/>
      <c r="F109" s="11"/>
      <c r="G109" s="11"/>
      <c r="H109" s="27"/>
      <c r="I109">
        <f t="shared" si="31"/>
        <v>0</v>
      </c>
      <c r="K109" s="10" t="s">
        <v>7</v>
      </c>
      <c r="L109" s="11"/>
      <c r="M109" s="11"/>
      <c r="N109" s="11"/>
      <c r="O109" s="11"/>
      <c r="P109" s="11"/>
      <c r="Q109" s="27"/>
      <c r="R109">
        <f t="shared" si="32"/>
        <v>0</v>
      </c>
      <c r="T109" s="10" t="s">
        <v>7</v>
      </c>
      <c r="U109" s="11"/>
      <c r="V109" s="11"/>
      <c r="W109" s="11"/>
      <c r="X109" s="11"/>
      <c r="Y109" s="11"/>
      <c r="Z109" s="27"/>
      <c r="AA109">
        <f t="shared" si="33"/>
        <v>0</v>
      </c>
    </row>
    <row r="110" spans="2:35" x14ac:dyDescent="0.35">
      <c r="B110" s="10" t="s">
        <v>8</v>
      </c>
      <c r="C110">
        <v>4</v>
      </c>
      <c r="D110" s="11"/>
      <c r="E110" s="11"/>
      <c r="F110" s="11"/>
      <c r="G110" s="11"/>
      <c r="H110" s="12">
        <v>4</v>
      </c>
      <c r="I110">
        <f t="shared" si="31"/>
        <v>4</v>
      </c>
      <c r="K110" s="10" t="s">
        <v>8</v>
      </c>
      <c r="L110" s="11"/>
      <c r="M110">
        <v>0</v>
      </c>
      <c r="N110" s="11"/>
      <c r="O110" s="11"/>
      <c r="P110" s="11"/>
      <c r="Q110" s="12">
        <v>4</v>
      </c>
      <c r="R110">
        <f t="shared" si="32"/>
        <v>0</v>
      </c>
      <c r="T110" s="10" t="s">
        <v>8</v>
      </c>
      <c r="U110">
        <v>4</v>
      </c>
      <c r="V110">
        <v>0</v>
      </c>
      <c r="W110" s="11"/>
      <c r="X110" s="11"/>
      <c r="Y110" s="11"/>
      <c r="Z110" s="27"/>
      <c r="AA110">
        <f t="shared" si="33"/>
        <v>0</v>
      </c>
    </row>
    <row r="111" spans="2:35" x14ac:dyDescent="0.35">
      <c r="B111" s="14" t="s">
        <v>9</v>
      </c>
      <c r="C111" s="15">
        <v>0</v>
      </c>
      <c r="D111" s="28"/>
      <c r="E111" s="28"/>
      <c r="F111" s="28"/>
      <c r="G111" s="15">
        <v>2</v>
      </c>
      <c r="H111" s="16"/>
      <c r="I111">
        <f t="shared" si="31"/>
        <v>0</v>
      </c>
      <c r="K111" s="14" t="s">
        <v>9</v>
      </c>
      <c r="L111" s="15">
        <v>0</v>
      </c>
      <c r="M111" s="15">
        <v>2</v>
      </c>
      <c r="N111" s="28"/>
      <c r="O111" s="28"/>
      <c r="P111" s="28"/>
      <c r="Q111" s="16"/>
      <c r="R111">
        <f t="shared" si="32"/>
        <v>0</v>
      </c>
      <c r="T111" s="14" t="s">
        <v>9</v>
      </c>
      <c r="U111" s="28"/>
      <c r="V111" s="15">
        <v>2</v>
      </c>
      <c r="W111" s="28"/>
      <c r="X111" s="28"/>
      <c r="Y111" s="15">
        <v>2</v>
      </c>
      <c r="Z111" s="16"/>
      <c r="AA111">
        <f t="shared" si="33"/>
        <v>2</v>
      </c>
    </row>
    <row r="113" spans="2:26" x14ac:dyDescent="0.35">
      <c r="B113" s="4"/>
      <c r="C113" s="5" t="s">
        <v>4</v>
      </c>
      <c r="D113" s="5" t="s">
        <v>5</v>
      </c>
      <c r="E113" s="5" t="s">
        <v>6</v>
      </c>
      <c r="F113" s="5" t="s">
        <v>7</v>
      </c>
      <c r="G113" s="5" t="s">
        <v>8</v>
      </c>
      <c r="H113" s="6" t="s">
        <v>9</v>
      </c>
      <c r="K113" s="4"/>
      <c r="L113" s="5" t="s">
        <v>4</v>
      </c>
      <c r="M113" s="5" t="s">
        <v>5</v>
      </c>
      <c r="N113" s="5" t="s">
        <v>6</v>
      </c>
      <c r="O113" s="5" t="s">
        <v>7</v>
      </c>
      <c r="P113" s="5" t="s">
        <v>8</v>
      </c>
      <c r="Q113" s="6" t="s">
        <v>9</v>
      </c>
      <c r="T113" s="4"/>
      <c r="U113" s="5" t="s">
        <v>4</v>
      </c>
      <c r="V113" s="5" t="s">
        <v>5</v>
      </c>
      <c r="W113" s="5" t="s">
        <v>6</v>
      </c>
      <c r="X113" s="5" t="s">
        <v>7</v>
      </c>
      <c r="Y113" s="5" t="s">
        <v>8</v>
      </c>
      <c r="Z113" s="6" t="s">
        <v>9</v>
      </c>
    </row>
    <row r="114" spans="2:26" x14ac:dyDescent="0.35">
      <c r="B114" s="10" t="s">
        <v>4</v>
      </c>
      <c r="C114" s="11"/>
      <c r="D114" s="11"/>
      <c r="E114" s="11"/>
      <c r="F114" s="11"/>
      <c r="G114" s="11"/>
      <c r="H114" s="27"/>
      <c r="K114" s="10" t="s">
        <v>4</v>
      </c>
      <c r="L114" s="11"/>
      <c r="M114" s="11"/>
      <c r="N114" s="11"/>
      <c r="O114" s="11"/>
      <c r="P114" s="11"/>
      <c r="Q114" s="27"/>
      <c r="T114" s="10" t="s">
        <v>4</v>
      </c>
      <c r="U114" s="11"/>
      <c r="V114" s="11"/>
      <c r="W114" s="11"/>
      <c r="X114" s="11"/>
      <c r="Y114" s="11"/>
      <c r="Z114" s="27"/>
    </row>
    <row r="115" spans="2:26" x14ac:dyDescent="0.35">
      <c r="B115" s="10" t="s">
        <v>5</v>
      </c>
      <c r="C115" s="11"/>
      <c r="D115" s="11"/>
      <c r="E115" s="11"/>
      <c r="F115" s="11"/>
      <c r="G115">
        <v>0</v>
      </c>
      <c r="H115" s="12">
        <v>0</v>
      </c>
      <c r="K115" s="10" t="s">
        <v>5</v>
      </c>
      <c r="L115">
        <v>1</v>
      </c>
      <c r="M115" s="11"/>
      <c r="N115" s="11"/>
      <c r="O115" s="11"/>
      <c r="P115" s="11"/>
      <c r="Q115" s="12">
        <v>0</v>
      </c>
      <c r="T115" s="10" t="s">
        <v>5</v>
      </c>
      <c r="U115">
        <v>1</v>
      </c>
      <c r="V115" s="11"/>
      <c r="W115" s="11"/>
      <c r="X115" s="11"/>
      <c r="Y115">
        <v>0</v>
      </c>
      <c r="Z115" s="27"/>
    </row>
    <row r="116" spans="2:26" x14ac:dyDescent="0.35">
      <c r="B116" s="10" t="s">
        <v>6</v>
      </c>
      <c r="C116" s="11"/>
      <c r="D116" s="11"/>
      <c r="E116" s="11"/>
      <c r="F116" s="11"/>
      <c r="G116" s="11"/>
      <c r="H116" s="27"/>
      <c r="K116" s="10" t="s">
        <v>6</v>
      </c>
      <c r="L116" s="11"/>
      <c r="M116" s="11"/>
      <c r="N116" s="11"/>
      <c r="O116" s="11"/>
      <c r="P116" s="11"/>
      <c r="Q116" s="27"/>
      <c r="T116" s="10" t="s">
        <v>6</v>
      </c>
      <c r="U116" s="11"/>
      <c r="V116" s="11"/>
      <c r="W116" s="11"/>
      <c r="X116" s="11"/>
      <c r="Y116" s="11"/>
      <c r="Z116" s="27"/>
    </row>
    <row r="117" spans="2:26" x14ac:dyDescent="0.35">
      <c r="B117" s="10" t="s">
        <v>7</v>
      </c>
      <c r="C117" s="11"/>
      <c r="D117" s="11"/>
      <c r="E117" s="11"/>
      <c r="F117" s="11"/>
      <c r="G117" s="11"/>
      <c r="H117" s="27"/>
      <c r="K117" s="10" t="s">
        <v>7</v>
      </c>
      <c r="L117" s="11"/>
      <c r="M117" s="11"/>
      <c r="N117" s="11"/>
      <c r="O117" s="11"/>
      <c r="P117" s="11"/>
      <c r="Q117" s="27"/>
      <c r="T117" s="10" t="s">
        <v>7</v>
      </c>
      <c r="U117" s="11"/>
      <c r="V117" s="11"/>
      <c r="W117" s="11"/>
      <c r="X117" s="11"/>
      <c r="Y117" s="11"/>
      <c r="Z117" s="27"/>
    </row>
    <row r="118" spans="2:26" x14ac:dyDescent="0.35">
      <c r="B118" s="10" t="s">
        <v>8</v>
      </c>
      <c r="C118">
        <f>C110-$I$110</f>
        <v>0</v>
      </c>
      <c r="D118" s="11"/>
      <c r="E118" s="11"/>
      <c r="F118" s="11"/>
      <c r="G118" s="11"/>
      <c r="H118" s="12">
        <f>H110-$I$110</f>
        <v>0</v>
      </c>
      <c r="K118" s="10" t="s">
        <v>8</v>
      </c>
      <c r="L118" s="11"/>
      <c r="M118">
        <v>0</v>
      </c>
      <c r="N118" s="11"/>
      <c r="O118" s="11"/>
      <c r="P118" s="11"/>
      <c r="Q118" s="12">
        <v>4</v>
      </c>
      <c r="T118" s="10" t="s">
        <v>8</v>
      </c>
      <c r="U118">
        <v>4</v>
      </c>
      <c r="V118">
        <v>0</v>
      </c>
      <c r="W118" s="11"/>
      <c r="X118" s="11"/>
      <c r="Y118" s="11"/>
      <c r="Z118" s="27"/>
    </row>
    <row r="119" spans="2:26" x14ac:dyDescent="0.35">
      <c r="B119" s="14" t="s">
        <v>9</v>
      </c>
      <c r="C119" s="15">
        <v>0</v>
      </c>
      <c r="D119" s="28"/>
      <c r="E119" s="28"/>
      <c r="F119" s="28"/>
      <c r="G119" s="15">
        <v>2</v>
      </c>
      <c r="H119" s="16"/>
      <c r="K119" s="14" t="s">
        <v>9</v>
      </c>
      <c r="L119" s="15">
        <v>0</v>
      </c>
      <c r="M119" s="15">
        <v>2</v>
      </c>
      <c r="N119" s="28"/>
      <c r="O119" s="28"/>
      <c r="P119" s="28"/>
      <c r="Q119" s="16"/>
      <c r="T119" s="14" t="s">
        <v>9</v>
      </c>
      <c r="U119" s="28"/>
      <c r="V119" s="15">
        <v>0</v>
      </c>
      <c r="W119" s="28"/>
      <c r="X119" s="28"/>
      <c r="Y119" s="15">
        <v>0</v>
      </c>
      <c r="Z119" s="16"/>
    </row>
    <row r="120" spans="2:26" x14ac:dyDescent="0.35">
      <c r="B120" s="7" t="s">
        <v>10</v>
      </c>
      <c r="C120">
        <f>MIN(C114:C119)</f>
        <v>0</v>
      </c>
      <c r="D120">
        <f t="shared" ref="D120:H120" si="34">MIN(D114:D119)</f>
        <v>0</v>
      </c>
      <c r="E120">
        <f t="shared" si="34"/>
        <v>0</v>
      </c>
      <c r="F120">
        <f t="shared" si="34"/>
        <v>0</v>
      </c>
      <c r="G120">
        <f t="shared" si="34"/>
        <v>0</v>
      </c>
      <c r="H120">
        <f t="shared" si="34"/>
        <v>0</v>
      </c>
      <c r="K120" s="7" t="s">
        <v>10</v>
      </c>
      <c r="L120">
        <f>MIN(L114:L119)</f>
        <v>0</v>
      </c>
      <c r="M120">
        <f t="shared" ref="M120:Q120" si="35">MIN(M114:M119)</f>
        <v>0</v>
      </c>
      <c r="N120">
        <f t="shared" si="35"/>
        <v>0</v>
      </c>
      <c r="O120">
        <f t="shared" si="35"/>
        <v>0</v>
      </c>
      <c r="P120">
        <f t="shared" si="35"/>
        <v>0</v>
      </c>
      <c r="Q120">
        <f t="shared" si="35"/>
        <v>0</v>
      </c>
      <c r="T120" s="7" t="s">
        <v>10</v>
      </c>
      <c r="U120">
        <f>MIN(U114:U119)</f>
        <v>1</v>
      </c>
      <c r="V120">
        <f t="shared" ref="V120:Z120" si="36">MIN(V114:V119)</f>
        <v>0</v>
      </c>
      <c r="W120">
        <f t="shared" si="36"/>
        <v>0</v>
      </c>
      <c r="X120">
        <f t="shared" si="36"/>
        <v>0</v>
      </c>
      <c r="Y120">
        <f t="shared" si="36"/>
        <v>0</v>
      </c>
      <c r="Z120">
        <f t="shared" si="36"/>
        <v>0</v>
      </c>
    </row>
    <row r="122" spans="2:26" x14ac:dyDescent="0.35">
      <c r="T122" s="4"/>
      <c r="U122" s="5" t="s">
        <v>4</v>
      </c>
      <c r="V122" s="5" t="s">
        <v>5</v>
      </c>
      <c r="W122" s="5" t="s">
        <v>6</v>
      </c>
      <c r="X122" s="5" t="s">
        <v>7</v>
      </c>
      <c r="Y122" s="5" t="s">
        <v>8</v>
      </c>
      <c r="Z122" s="6" t="s">
        <v>9</v>
      </c>
    </row>
    <row r="123" spans="2:26" x14ac:dyDescent="0.35">
      <c r="T123" s="10" t="s">
        <v>4</v>
      </c>
      <c r="U123" s="11"/>
      <c r="V123" s="11"/>
      <c r="W123" s="11"/>
      <c r="X123" s="11"/>
      <c r="Y123" s="11"/>
      <c r="Z123" s="27"/>
    </row>
    <row r="124" spans="2:26" x14ac:dyDescent="0.35">
      <c r="T124" s="10" t="s">
        <v>5</v>
      </c>
      <c r="U124">
        <v>0</v>
      </c>
      <c r="V124" s="11"/>
      <c r="W124" s="11"/>
      <c r="X124" s="11"/>
      <c r="Y124">
        <v>0</v>
      </c>
      <c r="Z124" s="27"/>
    </row>
    <row r="125" spans="2:26" x14ac:dyDescent="0.35">
      <c r="T125" s="10" t="s">
        <v>6</v>
      </c>
      <c r="U125" s="11"/>
      <c r="V125" s="11"/>
      <c r="W125" s="11"/>
      <c r="X125" s="11"/>
      <c r="Y125" s="11"/>
      <c r="Z125" s="27"/>
    </row>
    <row r="126" spans="2:26" x14ac:dyDescent="0.35">
      <c r="T126" s="10" t="s">
        <v>7</v>
      </c>
      <c r="U126" s="11"/>
      <c r="V126" s="11"/>
      <c r="W126" s="11"/>
      <c r="X126" s="11"/>
      <c r="Y126" s="11"/>
      <c r="Z126" s="27"/>
    </row>
    <row r="127" spans="2:26" x14ac:dyDescent="0.35">
      <c r="T127" s="10" t="s">
        <v>8</v>
      </c>
      <c r="U127">
        <v>3</v>
      </c>
      <c r="V127">
        <v>0</v>
      </c>
      <c r="W127" s="11"/>
      <c r="X127" s="11"/>
      <c r="Y127" s="11"/>
      <c r="Z127" s="27"/>
    </row>
    <row r="128" spans="2:26" x14ac:dyDescent="0.35">
      <c r="T128" s="14" t="s">
        <v>9</v>
      </c>
      <c r="U128" s="28"/>
      <c r="V128" s="15">
        <v>0</v>
      </c>
      <c r="W128" s="28"/>
      <c r="X128" s="28"/>
      <c r="Y128" s="15">
        <v>0</v>
      </c>
      <c r="Z128" s="16"/>
    </row>
    <row r="130" spans="2:21" x14ac:dyDescent="0.35">
      <c r="B130" s="23" t="s">
        <v>16</v>
      </c>
      <c r="C130">
        <f>SUM($L$100,I106:I111,C120:H120,D104)</f>
        <v>51</v>
      </c>
      <c r="K130" s="23" t="s">
        <v>16</v>
      </c>
      <c r="L130" s="32">
        <f>SUM($L$100,R106:R111,L120:Q120,M104)</f>
        <v>43</v>
      </c>
      <c r="T130" s="23" t="s">
        <v>16</v>
      </c>
      <c r="U130">
        <f>SUM($L$100,AA106:AA111,U120:Z120,V104)</f>
        <v>48</v>
      </c>
    </row>
    <row r="133" spans="2:21" x14ac:dyDescent="0.35">
      <c r="B133" t="s">
        <v>33</v>
      </c>
      <c r="C133" s="25" t="s">
        <v>19</v>
      </c>
      <c r="D133" s="26">
        <v>0</v>
      </c>
      <c r="K133" t="s">
        <v>34</v>
      </c>
      <c r="L133" s="25" t="s">
        <v>19</v>
      </c>
      <c r="M133" s="26">
        <v>4</v>
      </c>
    </row>
    <row r="134" spans="2:21" x14ac:dyDescent="0.35">
      <c r="B134" s="4"/>
      <c r="C134" s="5" t="s">
        <v>4</v>
      </c>
      <c r="D134" s="5" t="s">
        <v>5</v>
      </c>
      <c r="E134" s="5" t="s">
        <v>6</v>
      </c>
      <c r="F134" s="5" t="s">
        <v>7</v>
      </c>
      <c r="G134" s="5" t="s">
        <v>8</v>
      </c>
      <c r="H134" s="6" t="s">
        <v>9</v>
      </c>
      <c r="K134" s="4"/>
      <c r="L134" s="5" t="s">
        <v>4</v>
      </c>
      <c r="M134" s="5" t="s">
        <v>5</v>
      </c>
      <c r="N134" s="5" t="s">
        <v>6</v>
      </c>
      <c r="O134" s="5" t="s">
        <v>7</v>
      </c>
      <c r="P134" s="5" t="s">
        <v>8</v>
      </c>
      <c r="Q134" s="6" t="s">
        <v>9</v>
      </c>
      <c r="R134" s="7" t="s">
        <v>10</v>
      </c>
    </row>
    <row r="135" spans="2:21" x14ac:dyDescent="0.35">
      <c r="B135" s="10" t="s">
        <v>4</v>
      </c>
      <c r="C135" s="11"/>
      <c r="D135" s="11"/>
      <c r="E135" s="11"/>
      <c r="F135" s="11"/>
      <c r="G135" s="11"/>
      <c r="H135" s="27"/>
      <c r="K135" s="10" t="s">
        <v>4</v>
      </c>
      <c r="L135" s="11"/>
      <c r="M135" s="11"/>
      <c r="N135" s="11"/>
      <c r="O135" s="11"/>
      <c r="P135" s="11"/>
      <c r="Q135" s="27"/>
      <c r="R135">
        <f>MIN(M135:Q135)</f>
        <v>0</v>
      </c>
    </row>
    <row r="136" spans="2:21" x14ac:dyDescent="0.35">
      <c r="B136" s="10" t="s">
        <v>5</v>
      </c>
      <c r="C136" s="11"/>
      <c r="D136" s="11"/>
      <c r="E136" s="11"/>
      <c r="F136" s="11"/>
      <c r="G136" s="11"/>
      <c r="H136" s="12">
        <v>0</v>
      </c>
      <c r="K136" s="10" t="s">
        <v>5</v>
      </c>
      <c r="L136">
        <v>1</v>
      </c>
      <c r="M136" s="11"/>
      <c r="N136" s="11"/>
      <c r="O136" s="11"/>
      <c r="P136" s="11"/>
      <c r="Q136" s="27"/>
      <c r="R136">
        <f>MIN(L136:Q136)</f>
        <v>1</v>
      </c>
    </row>
    <row r="137" spans="2:21" x14ac:dyDescent="0.35">
      <c r="B137" s="10" t="s">
        <v>6</v>
      </c>
      <c r="C137" s="11"/>
      <c r="D137" s="11"/>
      <c r="E137" s="11"/>
      <c r="F137" s="11"/>
      <c r="G137" s="11"/>
      <c r="H137" s="27"/>
      <c r="K137" s="10" t="s">
        <v>6</v>
      </c>
      <c r="L137" s="11"/>
      <c r="M137" s="11"/>
      <c r="N137" s="11"/>
      <c r="O137" s="11"/>
      <c r="P137" s="11"/>
      <c r="Q137" s="27"/>
      <c r="R137">
        <f t="shared" ref="R137:R140" si="37">MIN(L137:Q137)</f>
        <v>0</v>
      </c>
    </row>
    <row r="138" spans="2:21" x14ac:dyDescent="0.35">
      <c r="B138" s="10" t="s">
        <v>7</v>
      </c>
      <c r="C138" s="11"/>
      <c r="D138" s="11"/>
      <c r="E138" s="11"/>
      <c r="F138" s="11"/>
      <c r="G138" s="11"/>
      <c r="H138" s="27"/>
      <c r="K138" s="10" t="s">
        <v>7</v>
      </c>
      <c r="L138" s="11"/>
      <c r="M138" s="11"/>
      <c r="N138" s="11"/>
      <c r="O138" s="11"/>
      <c r="P138" s="11"/>
      <c r="Q138" s="27"/>
      <c r="R138">
        <f t="shared" si="37"/>
        <v>0</v>
      </c>
    </row>
    <row r="139" spans="2:21" x14ac:dyDescent="0.35">
      <c r="B139" s="10" t="s">
        <v>8</v>
      </c>
      <c r="C139" s="11"/>
      <c r="D139" s="11"/>
      <c r="E139" s="11"/>
      <c r="F139" s="11"/>
      <c r="G139" s="11"/>
      <c r="H139" s="27"/>
      <c r="K139" s="10" t="s">
        <v>8</v>
      </c>
      <c r="L139" s="11"/>
      <c r="M139" s="11"/>
      <c r="N139" s="11"/>
      <c r="O139" s="11"/>
      <c r="P139" s="11"/>
      <c r="Q139" s="27"/>
      <c r="R139">
        <f t="shared" si="37"/>
        <v>0</v>
      </c>
    </row>
    <row r="140" spans="2:21" x14ac:dyDescent="0.35">
      <c r="B140" s="14" t="s">
        <v>9</v>
      </c>
      <c r="C140" s="15">
        <v>0</v>
      </c>
      <c r="D140" s="28"/>
      <c r="E140" s="28"/>
      <c r="F140" s="28"/>
      <c r="G140" s="28"/>
      <c r="H140" s="16"/>
      <c r="K140" s="14" t="s">
        <v>9</v>
      </c>
      <c r="L140" s="28"/>
      <c r="M140" s="15">
        <v>2</v>
      </c>
      <c r="N140" s="28"/>
      <c r="O140" s="28"/>
      <c r="P140" s="28"/>
      <c r="Q140" s="16"/>
      <c r="R140">
        <f t="shared" si="37"/>
        <v>2</v>
      </c>
    </row>
    <row r="142" spans="2:21" x14ac:dyDescent="0.35">
      <c r="K142" s="4"/>
      <c r="L142" s="5" t="s">
        <v>4</v>
      </c>
      <c r="M142" s="5" t="s">
        <v>5</v>
      </c>
      <c r="N142" s="5" t="s">
        <v>6</v>
      </c>
      <c r="O142" s="5" t="s">
        <v>7</v>
      </c>
      <c r="P142" s="5" t="s">
        <v>8</v>
      </c>
      <c r="Q142" s="6" t="s">
        <v>9</v>
      </c>
    </row>
    <row r="143" spans="2:21" x14ac:dyDescent="0.35">
      <c r="K143" s="10" t="s">
        <v>4</v>
      </c>
      <c r="L143" s="11"/>
      <c r="M143" s="11"/>
      <c r="N143" s="11"/>
      <c r="O143" s="11"/>
      <c r="P143" s="11"/>
      <c r="Q143" s="27"/>
    </row>
    <row r="144" spans="2:21" x14ac:dyDescent="0.35">
      <c r="K144" s="10" t="s">
        <v>5</v>
      </c>
      <c r="L144">
        <v>0</v>
      </c>
      <c r="M144" s="11"/>
      <c r="N144" s="11"/>
      <c r="O144" s="11"/>
      <c r="P144" s="11"/>
      <c r="Q144" s="27"/>
    </row>
    <row r="145" spans="2:17" x14ac:dyDescent="0.35">
      <c r="K145" s="10" t="s">
        <v>6</v>
      </c>
      <c r="L145" s="11"/>
      <c r="M145" s="11"/>
      <c r="N145" s="11"/>
      <c r="O145" s="11"/>
      <c r="P145" s="11"/>
      <c r="Q145" s="27"/>
    </row>
    <row r="146" spans="2:17" x14ac:dyDescent="0.35">
      <c r="K146" s="10" t="s">
        <v>7</v>
      </c>
      <c r="L146" s="11"/>
      <c r="M146" s="11"/>
      <c r="N146" s="11"/>
      <c r="O146" s="11"/>
      <c r="P146" s="11"/>
      <c r="Q146" s="27"/>
    </row>
    <row r="147" spans="2:17" x14ac:dyDescent="0.35">
      <c r="K147" s="10" t="s">
        <v>8</v>
      </c>
      <c r="L147" s="11"/>
      <c r="M147" s="11"/>
      <c r="N147" s="11"/>
      <c r="O147" s="11"/>
      <c r="P147" s="11"/>
      <c r="Q147" s="27"/>
    </row>
    <row r="148" spans="2:17" x14ac:dyDescent="0.35">
      <c r="K148" s="14" t="s">
        <v>9</v>
      </c>
      <c r="L148" s="28"/>
      <c r="M148" s="15">
        <v>0</v>
      </c>
      <c r="N148" s="28"/>
      <c r="O148" s="28"/>
      <c r="P148" s="28"/>
      <c r="Q148" s="16"/>
    </row>
    <row r="149" spans="2:17" x14ac:dyDescent="0.35">
      <c r="K149" s="7" t="s">
        <v>10</v>
      </c>
      <c r="L149">
        <f>MIN(L143:L148)</f>
        <v>0</v>
      </c>
      <c r="M149">
        <f t="shared" ref="M149:Q149" si="38">MIN(M143:M148)</f>
        <v>0</v>
      </c>
      <c r="N149">
        <f t="shared" si="38"/>
        <v>0</v>
      </c>
      <c r="O149">
        <f t="shared" si="38"/>
        <v>0</v>
      </c>
      <c r="P149">
        <f t="shared" si="38"/>
        <v>0</v>
      </c>
      <c r="Q149">
        <f t="shared" si="38"/>
        <v>0</v>
      </c>
    </row>
    <row r="151" spans="2:17" x14ac:dyDescent="0.35">
      <c r="B151" s="23" t="s">
        <v>16</v>
      </c>
      <c r="C151" s="32">
        <f>SUM($L$130,I135:I140,C149:H149,D133)</f>
        <v>43</v>
      </c>
      <c r="K151" s="23" t="s">
        <v>16</v>
      </c>
      <c r="L151">
        <f>SUM($L$130,R135:R140,L149:Q149,M133)</f>
        <v>50</v>
      </c>
    </row>
    <row r="153" spans="2:17" x14ac:dyDescent="0.35">
      <c r="B153" t="s">
        <v>38</v>
      </c>
    </row>
    <row r="154" spans="2:17" x14ac:dyDescent="0.35">
      <c r="B154" t="s">
        <v>39</v>
      </c>
      <c r="C154" s="25" t="s">
        <v>19</v>
      </c>
      <c r="D154" s="26">
        <v>0</v>
      </c>
    </row>
    <row r="155" spans="2:17" x14ac:dyDescent="0.35">
      <c r="B155" s="4"/>
      <c r="C155" s="5" t="s">
        <v>4</v>
      </c>
      <c r="D155" s="5" t="s">
        <v>5</v>
      </c>
      <c r="E155" s="5" t="s">
        <v>6</v>
      </c>
      <c r="F155" s="5" t="s">
        <v>7</v>
      </c>
      <c r="G155" s="5" t="s">
        <v>8</v>
      </c>
      <c r="H155" s="6" t="s">
        <v>9</v>
      </c>
    </row>
    <row r="156" spans="2:17" x14ac:dyDescent="0.35">
      <c r="B156" s="10" t="s">
        <v>4</v>
      </c>
      <c r="C156" s="11"/>
      <c r="D156" s="11"/>
      <c r="E156" s="11"/>
      <c r="F156" s="11"/>
      <c r="G156" s="11"/>
      <c r="H156" s="27"/>
    </row>
    <row r="157" spans="2:17" x14ac:dyDescent="0.35">
      <c r="B157" s="10" t="s">
        <v>5</v>
      </c>
      <c r="C157" s="11"/>
      <c r="D157" s="11"/>
      <c r="E157" s="11"/>
      <c r="F157" s="11"/>
      <c r="G157" s="11"/>
      <c r="H157" s="27"/>
    </row>
    <row r="158" spans="2:17" x14ac:dyDescent="0.35">
      <c r="B158" s="10" t="s">
        <v>6</v>
      </c>
      <c r="C158" s="11"/>
      <c r="D158" s="11"/>
      <c r="E158" s="11"/>
      <c r="F158" s="11"/>
      <c r="G158" s="11"/>
      <c r="H158" s="27"/>
    </row>
    <row r="159" spans="2:17" x14ac:dyDescent="0.35">
      <c r="B159" s="10" t="s">
        <v>7</v>
      </c>
      <c r="C159" s="11"/>
      <c r="D159" s="11"/>
      <c r="E159" s="11"/>
      <c r="F159" s="11"/>
      <c r="G159" s="11"/>
      <c r="H159" s="27"/>
    </row>
    <row r="160" spans="2:17" x14ac:dyDescent="0.35">
      <c r="B160" s="10" t="s">
        <v>8</v>
      </c>
      <c r="C160" s="11"/>
      <c r="D160" s="11"/>
      <c r="E160" s="11"/>
      <c r="F160" s="11"/>
      <c r="G160" s="11"/>
      <c r="H160" s="27"/>
    </row>
    <row r="161" spans="2:8" x14ac:dyDescent="0.35">
      <c r="B161" s="14" t="s">
        <v>9</v>
      </c>
      <c r="C161" s="28"/>
      <c r="D161" s="28"/>
      <c r="E161" s="28"/>
      <c r="F161" s="28"/>
      <c r="G161" s="28"/>
      <c r="H161" s="16"/>
    </row>
    <row r="163" spans="2:8" x14ac:dyDescent="0.35">
      <c r="B163" s="23" t="s">
        <v>16</v>
      </c>
      <c r="C163" s="29">
        <f>C151</f>
        <v>43</v>
      </c>
    </row>
  </sheetData>
  <conditionalFormatting sqref="A90:XFD90">
    <cfRule type="expression" dxfId="3" priority="1">
      <formula>AND(ISNUMBER(A90),A90&gt;0)</formula>
    </cfRule>
  </conditionalFormatting>
  <conditionalFormatting sqref="A120:XFD120">
    <cfRule type="expression" dxfId="2" priority="2">
      <formula>AND(ISNUMBER(A120),A120&gt;0)</formula>
    </cfRule>
  </conditionalFormatting>
  <conditionalFormatting sqref="A149:XFD149">
    <cfRule type="expression" dxfId="1" priority="3">
      <formula>AND(ISNUMBER(A149),A149&gt;0)</formula>
    </cfRule>
  </conditionalFormatting>
  <conditionalFormatting sqref="R1:R13 I1:I59 AA1:AA59 AJ1:AJ59 AS1:AS59 R32:R59 A60:XFD60 I61:I1048576 R61:R1048576 AA61:AA1048576 AJ61:AJ1048576 AS61:AS1048576">
    <cfRule type="expression" dxfId="0" priority="4">
      <formula>AND(ISNUMBER(A1),A1&gt;0)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906D-7320-4128-A9EC-62D25B916766}">
  <dimension ref="D3:O40"/>
  <sheetViews>
    <sheetView topLeftCell="B1" workbookViewId="0">
      <selection activeCell="D3" sqref="D3:Q41"/>
    </sheetView>
  </sheetViews>
  <sheetFormatPr defaultRowHeight="14.5" x14ac:dyDescent="0.35"/>
  <sheetData>
    <row r="3" spans="4:15" x14ac:dyDescent="0.35">
      <c r="D3" t="s">
        <v>47</v>
      </c>
    </row>
    <row r="4" spans="4:15" x14ac:dyDescent="0.35">
      <c r="D4" s="33"/>
      <c r="E4" s="33" t="s">
        <v>6</v>
      </c>
      <c r="F4" s="33" t="s">
        <v>42</v>
      </c>
      <c r="G4" s="33" t="s">
        <v>43</v>
      </c>
      <c r="H4" s="33" t="s">
        <v>44</v>
      </c>
    </row>
    <row r="5" spans="4:15" x14ac:dyDescent="0.35">
      <c r="D5" s="33" t="s">
        <v>6</v>
      </c>
      <c r="E5" s="33">
        <v>8</v>
      </c>
      <c r="F5" s="33">
        <v>6</v>
      </c>
      <c r="G5" s="33">
        <v>5</v>
      </c>
      <c r="H5" s="33">
        <v>7</v>
      </c>
    </row>
    <row r="6" spans="4:15" x14ac:dyDescent="0.35">
      <c r="D6" s="33" t="s">
        <v>42</v>
      </c>
      <c r="E6" s="33">
        <v>6</v>
      </c>
      <c r="F6" s="33">
        <v>5</v>
      </c>
      <c r="G6" s="33">
        <v>3</v>
      </c>
      <c r="H6" s="33">
        <v>4</v>
      </c>
    </row>
    <row r="7" spans="4:15" x14ac:dyDescent="0.35">
      <c r="D7" s="33" t="s">
        <v>43</v>
      </c>
      <c r="E7" s="33">
        <v>7</v>
      </c>
      <c r="F7" s="33">
        <v>8</v>
      </c>
      <c r="G7" s="33">
        <v>5</v>
      </c>
      <c r="H7" s="33">
        <v>6</v>
      </c>
    </row>
    <row r="8" spans="4:15" x14ac:dyDescent="0.35">
      <c r="D8" s="33" t="s">
        <v>44</v>
      </c>
      <c r="E8" s="33">
        <v>6</v>
      </c>
      <c r="F8" s="33">
        <v>7</v>
      </c>
      <c r="G8" s="33">
        <v>5</v>
      </c>
      <c r="H8" s="33">
        <v>6</v>
      </c>
    </row>
    <row r="9" spans="4:15" x14ac:dyDescent="0.35">
      <c r="D9" s="36" t="s">
        <v>48</v>
      </c>
      <c r="K9" t="s">
        <v>49</v>
      </c>
    </row>
    <row r="10" spans="4:15" x14ac:dyDescent="0.35">
      <c r="D10" s="26" t="s">
        <v>45</v>
      </c>
      <c r="K10" t="s">
        <v>46</v>
      </c>
    </row>
    <row r="11" spans="4:15" x14ac:dyDescent="0.35">
      <c r="D11" s="33"/>
      <c r="E11" s="33" t="s">
        <v>6</v>
      </c>
      <c r="F11" s="33" t="s">
        <v>42</v>
      </c>
      <c r="G11" s="33" t="s">
        <v>43</v>
      </c>
      <c r="H11" s="33" t="s">
        <v>44</v>
      </c>
      <c r="K11" s="33"/>
      <c r="L11" s="33" t="s">
        <v>6</v>
      </c>
      <c r="M11" s="33" t="s">
        <v>42</v>
      </c>
      <c r="N11" s="33" t="s">
        <v>43</v>
      </c>
      <c r="O11" s="33" t="s">
        <v>44</v>
      </c>
    </row>
    <row r="12" spans="4:15" x14ac:dyDescent="0.35">
      <c r="D12" s="33" t="s">
        <v>6</v>
      </c>
      <c r="E12" s="33">
        <v>8</v>
      </c>
      <c r="F12" s="33">
        <v>6</v>
      </c>
      <c r="G12" s="34">
        <v>5</v>
      </c>
      <c r="H12" s="33">
        <v>7</v>
      </c>
      <c r="K12" s="33" t="s">
        <v>6</v>
      </c>
      <c r="L12" s="35">
        <f t="shared" ref="L12:M12" si="0">E12-5</f>
        <v>3</v>
      </c>
      <c r="M12" s="34">
        <f t="shared" si="0"/>
        <v>1</v>
      </c>
      <c r="N12" s="34">
        <f>G12-5</f>
        <v>0</v>
      </c>
      <c r="O12" s="35">
        <f>H12-5</f>
        <v>2</v>
      </c>
    </row>
    <row r="13" spans="4:15" x14ac:dyDescent="0.35">
      <c r="D13" s="33" t="s">
        <v>42</v>
      </c>
      <c r="E13" s="33">
        <v>6</v>
      </c>
      <c r="F13" s="33">
        <v>5</v>
      </c>
      <c r="G13" s="34">
        <v>3</v>
      </c>
      <c r="H13" s="33">
        <v>4</v>
      </c>
      <c r="K13" s="33" t="s">
        <v>42</v>
      </c>
      <c r="L13" s="35">
        <f t="shared" ref="L13:M13" si="1">E13-3</f>
        <v>3</v>
      </c>
      <c r="M13" s="35">
        <f t="shared" si="1"/>
        <v>2</v>
      </c>
      <c r="N13" s="34">
        <f>G13-3</f>
        <v>0</v>
      </c>
      <c r="O13" s="34">
        <f>H13-3</f>
        <v>1</v>
      </c>
    </row>
    <row r="14" spans="4:15" x14ac:dyDescent="0.35">
      <c r="D14" s="33" t="s">
        <v>43</v>
      </c>
      <c r="E14" s="33">
        <v>7</v>
      </c>
      <c r="F14" s="33">
        <v>8</v>
      </c>
      <c r="G14" s="34">
        <v>5</v>
      </c>
      <c r="H14" s="33">
        <v>6</v>
      </c>
      <c r="K14" s="33" t="s">
        <v>43</v>
      </c>
      <c r="L14" s="35">
        <f t="shared" ref="L14:M15" si="2">E14-5</f>
        <v>2</v>
      </c>
      <c r="M14" s="35">
        <f t="shared" si="2"/>
        <v>3</v>
      </c>
      <c r="N14" s="34">
        <f>G14-5</f>
        <v>0</v>
      </c>
      <c r="O14" s="34">
        <f>H14-5</f>
        <v>1</v>
      </c>
    </row>
    <row r="15" spans="4:15" x14ac:dyDescent="0.35">
      <c r="D15" s="33" t="s">
        <v>44</v>
      </c>
      <c r="E15" s="33">
        <v>6</v>
      </c>
      <c r="F15" s="33">
        <v>7</v>
      </c>
      <c r="G15" s="34">
        <v>5</v>
      </c>
      <c r="H15" s="33">
        <v>6</v>
      </c>
      <c r="K15" s="33" t="s">
        <v>44</v>
      </c>
      <c r="L15" s="34">
        <f t="shared" si="2"/>
        <v>1</v>
      </c>
      <c r="M15" s="35">
        <f t="shared" si="2"/>
        <v>2</v>
      </c>
      <c r="N15" s="34">
        <f>G15-5</f>
        <v>0</v>
      </c>
      <c r="O15" s="34">
        <f>H15-5</f>
        <v>1</v>
      </c>
    </row>
    <row r="16" spans="4:15" x14ac:dyDescent="0.35">
      <c r="D16" t="s">
        <v>50</v>
      </c>
      <c r="K16" s="36" t="s">
        <v>52</v>
      </c>
    </row>
    <row r="17" spans="4:15" x14ac:dyDescent="0.35">
      <c r="D17" s="26" t="s">
        <v>51</v>
      </c>
      <c r="K17" s="38" t="s">
        <v>53</v>
      </c>
    </row>
    <row r="18" spans="4:15" x14ac:dyDescent="0.35">
      <c r="D18" s="35"/>
      <c r="E18" s="35" t="str">
        <f t="shared" ref="E18:H18" si="3">L11</f>
        <v>A</v>
      </c>
      <c r="F18" s="35" t="str">
        <f t="shared" si="3"/>
        <v>B</v>
      </c>
      <c r="G18" s="35" t="str">
        <f t="shared" si="3"/>
        <v>C</v>
      </c>
      <c r="H18" s="35" t="str">
        <f t="shared" si="3"/>
        <v>D</v>
      </c>
      <c r="K18" s="37"/>
      <c r="L18" s="37" t="str">
        <f t="shared" ref="L18:O18" si="4">E18</f>
        <v>A</v>
      </c>
      <c r="M18" s="37" t="str">
        <f t="shared" si="4"/>
        <v>B</v>
      </c>
      <c r="N18" s="37" t="str">
        <f t="shared" si="4"/>
        <v>C</v>
      </c>
      <c r="O18" s="37" t="str">
        <f t="shared" si="4"/>
        <v>D</v>
      </c>
    </row>
    <row r="19" spans="4:15" x14ac:dyDescent="0.35">
      <c r="D19" s="35" t="str">
        <f t="shared" ref="D19:D22" si="5">K12</f>
        <v>A</v>
      </c>
      <c r="E19" s="35" cm="1">
        <f t="array" ref="E19:E22">L12:L15-MIN(L12:L15)</f>
        <v>2</v>
      </c>
      <c r="F19" s="35" cm="1">
        <f t="array" ref="F19:F22">M12:M15-MIN(M12:M15)</f>
        <v>0</v>
      </c>
      <c r="G19" s="35" cm="1">
        <f t="array" ref="G19:G22">N12:N15-MIN(N12:N15)</f>
        <v>0</v>
      </c>
      <c r="H19" s="35" cm="1">
        <f t="array" ref="H19:H22">O12:O15-MIN(O12:O15)</f>
        <v>1</v>
      </c>
      <c r="K19" s="37" t="str">
        <f t="shared" ref="K19:K22" si="6">D19</f>
        <v>A</v>
      </c>
      <c r="L19" s="39">
        <f t="shared" ref="L19:L22" si="7">E19</f>
        <v>2</v>
      </c>
      <c r="M19" s="39">
        <f t="shared" ref="M19:M22" si="8">F19</f>
        <v>0</v>
      </c>
      <c r="N19" s="39">
        <f t="shared" ref="N19:N22" si="9">G19</f>
        <v>0</v>
      </c>
      <c r="O19" s="39">
        <f t="shared" ref="O19:O22" si="10">H19</f>
        <v>1</v>
      </c>
    </row>
    <row r="20" spans="4:15" x14ac:dyDescent="0.35">
      <c r="D20" s="35" t="str">
        <f t="shared" si="5"/>
        <v>B</v>
      </c>
      <c r="E20" s="35">
        <v>2</v>
      </c>
      <c r="F20" s="35">
        <v>1</v>
      </c>
      <c r="G20" s="35">
        <v>0</v>
      </c>
      <c r="H20" s="35">
        <v>0</v>
      </c>
      <c r="K20" s="37" t="str">
        <f t="shared" si="6"/>
        <v>B</v>
      </c>
      <c r="L20" s="39">
        <f t="shared" si="7"/>
        <v>2</v>
      </c>
      <c r="M20" s="39">
        <f t="shared" si="8"/>
        <v>1</v>
      </c>
      <c r="N20" s="39">
        <f t="shared" si="9"/>
        <v>0</v>
      </c>
      <c r="O20" s="39">
        <f t="shared" si="10"/>
        <v>0</v>
      </c>
    </row>
    <row r="21" spans="4:15" x14ac:dyDescent="0.35">
      <c r="D21" s="35" t="str">
        <f t="shared" si="5"/>
        <v>C</v>
      </c>
      <c r="E21" s="35">
        <v>1</v>
      </c>
      <c r="F21" s="35">
        <v>2</v>
      </c>
      <c r="G21" s="35">
        <v>0</v>
      </c>
      <c r="H21" s="35">
        <v>0</v>
      </c>
      <c r="K21" s="37" t="str">
        <f t="shared" si="6"/>
        <v>C</v>
      </c>
      <c r="L21" s="39">
        <f t="shared" si="7"/>
        <v>1</v>
      </c>
      <c r="M21" s="39">
        <f t="shared" si="8"/>
        <v>2</v>
      </c>
      <c r="N21" s="39">
        <f t="shared" si="9"/>
        <v>0</v>
      </c>
      <c r="O21" s="39">
        <f t="shared" si="10"/>
        <v>0</v>
      </c>
    </row>
    <row r="22" spans="4:15" x14ac:dyDescent="0.35">
      <c r="D22" s="35" t="str">
        <f t="shared" si="5"/>
        <v>D</v>
      </c>
      <c r="E22" s="35">
        <v>0</v>
      </c>
      <c r="F22" s="35">
        <v>1</v>
      </c>
      <c r="G22" s="35">
        <v>0</v>
      </c>
      <c r="H22" s="35">
        <v>0</v>
      </c>
      <c r="K22" s="37" t="str">
        <f t="shared" si="6"/>
        <v>D</v>
      </c>
      <c r="L22" s="39">
        <f t="shared" si="7"/>
        <v>0</v>
      </c>
      <c r="M22" s="39">
        <f t="shared" si="8"/>
        <v>1</v>
      </c>
      <c r="N22" s="39">
        <f t="shared" si="9"/>
        <v>0</v>
      </c>
      <c r="O22" s="39">
        <f t="shared" si="10"/>
        <v>0</v>
      </c>
    </row>
    <row r="23" spans="4:15" x14ac:dyDescent="0.35">
      <c r="D23" t="s">
        <v>58</v>
      </c>
      <c r="K23" t="s">
        <v>60</v>
      </c>
    </row>
    <row r="24" spans="4:15" x14ac:dyDescent="0.35">
      <c r="D24" t="s">
        <v>59</v>
      </c>
      <c r="K24" t="s">
        <v>61</v>
      </c>
    </row>
    <row r="25" spans="4:15" x14ac:dyDescent="0.35">
      <c r="D25" t="s">
        <v>54</v>
      </c>
      <c r="K25" t="s">
        <v>62</v>
      </c>
      <c r="L25">
        <f>F5+G6+H7+E8</f>
        <v>21</v>
      </c>
    </row>
    <row r="26" spans="4:15" x14ac:dyDescent="0.35">
      <c r="D26" t="s">
        <v>55</v>
      </c>
      <c r="K26" t="s">
        <v>63</v>
      </c>
      <c r="L26">
        <f>F5+H6+G7+E8</f>
        <v>21</v>
      </c>
    </row>
    <row r="27" spans="4:15" x14ac:dyDescent="0.35">
      <c r="D27" t="s">
        <v>56</v>
      </c>
    </row>
    <row r="28" spans="4:15" x14ac:dyDescent="0.35">
      <c r="D28" t="s">
        <v>57</v>
      </c>
    </row>
    <row r="30" spans="4:15" x14ac:dyDescent="0.35">
      <c r="D30" s="35"/>
      <c r="E30" s="35" t="str">
        <f t="shared" ref="E30:H34" si="11">E18</f>
        <v>A</v>
      </c>
      <c r="F30" s="35" t="str">
        <f t="shared" si="11"/>
        <v>B</v>
      </c>
      <c r="G30" s="35" t="str">
        <f t="shared" si="11"/>
        <v>C</v>
      </c>
      <c r="H30" s="35" t="str">
        <f t="shared" si="11"/>
        <v>D</v>
      </c>
    </row>
    <row r="31" spans="4:15" x14ac:dyDescent="0.35">
      <c r="D31" s="35" t="str">
        <f>D19</f>
        <v>A</v>
      </c>
      <c r="E31" s="35">
        <f t="shared" si="11"/>
        <v>2</v>
      </c>
      <c r="F31" s="34">
        <f t="shared" si="11"/>
        <v>0</v>
      </c>
      <c r="G31" s="35">
        <f t="shared" si="11"/>
        <v>0</v>
      </c>
      <c r="H31" s="35">
        <f t="shared" si="11"/>
        <v>1</v>
      </c>
    </row>
    <row r="32" spans="4:15" x14ac:dyDescent="0.35">
      <c r="D32" s="35" t="str">
        <f>D20</f>
        <v>B</v>
      </c>
      <c r="E32" s="35">
        <f t="shared" si="11"/>
        <v>2</v>
      </c>
      <c r="F32" s="35">
        <f t="shared" si="11"/>
        <v>1</v>
      </c>
      <c r="G32" s="34">
        <f t="shared" si="11"/>
        <v>0</v>
      </c>
      <c r="H32" s="35">
        <f t="shared" si="11"/>
        <v>0</v>
      </c>
    </row>
    <row r="33" spans="4:8" x14ac:dyDescent="0.35">
      <c r="D33" s="35" t="str">
        <f>D21</f>
        <v>C</v>
      </c>
      <c r="E33" s="35">
        <f t="shared" si="11"/>
        <v>1</v>
      </c>
      <c r="F33" s="35">
        <f t="shared" si="11"/>
        <v>2</v>
      </c>
      <c r="G33" s="35">
        <f t="shared" si="11"/>
        <v>0</v>
      </c>
      <c r="H33" s="34">
        <f t="shared" si="11"/>
        <v>0</v>
      </c>
    </row>
    <row r="34" spans="4:8" x14ac:dyDescent="0.35">
      <c r="D34" s="35" t="str">
        <f>D22</f>
        <v>D</v>
      </c>
      <c r="E34" s="34">
        <f t="shared" si="11"/>
        <v>0</v>
      </c>
      <c r="F34" s="35">
        <f t="shared" si="11"/>
        <v>1</v>
      </c>
      <c r="G34" s="35">
        <f t="shared" si="11"/>
        <v>0</v>
      </c>
      <c r="H34" s="35">
        <f t="shared" si="11"/>
        <v>0</v>
      </c>
    </row>
    <row r="36" spans="4:8" x14ac:dyDescent="0.35">
      <c r="D36" s="35"/>
      <c r="E36" s="35" t="str">
        <f t="shared" ref="E36:H40" si="12">E18</f>
        <v>A</v>
      </c>
      <c r="F36" s="35" t="str">
        <f t="shared" si="12"/>
        <v>B</v>
      </c>
      <c r="G36" s="35" t="str">
        <f t="shared" si="12"/>
        <v>C</v>
      </c>
      <c r="H36" s="35" t="str">
        <f t="shared" si="12"/>
        <v>D</v>
      </c>
    </row>
    <row r="37" spans="4:8" x14ac:dyDescent="0.35">
      <c r="D37" s="35" t="str">
        <f>D19</f>
        <v>A</v>
      </c>
      <c r="E37" s="35">
        <f t="shared" si="12"/>
        <v>2</v>
      </c>
      <c r="F37" s="34">
        <f t="shared" si="12"/>
        <v>0</v>
      </c>
      <c r="G37" s="35">
        <f t="shared" si="12"/>
        <v>0</v>
      </c>
      <c r="H37" s="35">
        <f t="shared" si="12"/>
        <v>1</v>
      </c>
    </row>
    <row r="38" spans="4:8" x14ac:dyDescent="0.35">
      <c r="D38" s="35" t="str">
        <f>D20</f>
        <v>B</v>
      </c>
      <c r="E38" s="35">
        <f t="shared" si="12"/>
        <v>2</v>
      </c>
      <c r="F38" s="35">
        <f t="shared" si="12"/>
        <v>1</v>
      </c>
      <c r="G38" s="35">
        <f t="shared" si="12"/>
        <v>0</v>
      </c>
      <c r="H38" s="34">
        <f t="shared" si="12"/>
        <v>0</v>
      </c>
    </row>
    <row r="39" spans="4:8" x14ac:dyDescent="0.35">
      <c r="D39" s="35" t="str">
        <f>D21</f>
        <v>C</v>
      </c>
      <c r="E39" s="35">
        <f t="shared" si="12"/>
        <v>1</v>
      </c>
      <c r="F39" s="35">
        <f t="shared" si="12"/>
        <v>2</v>
      </c>
      <c r="G39" s="34">
        <f t="shared" si="12"/>
        <v>0</v>
      </c>
      <c r="H39" s="35">
        <f t="shared" si="12"/>
        <v>0</v>
      </c>
    </row>
    <row r="40" spans="4:8" x14ac:dyDescent="0.35">
      <c r="D40" s="35" t="str">
        <f>D22</f>
        <v>D</v>
      </c>
      <c r="E40" s="34">
        <f t="shared" si="12"/>
        <v>0</v>
      </c>
      <c r="F40" s="35">
        <f t="shared" si="12"/>
        <v>1</v>
      </c>
      <c r="G40" s="35">
        <f t="shared" si="12"/>
        <v>0</v>
      </c>
      <c r="H40" s="35">
        <f t="shared" si="1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6A74-3157-445A-A98E-F2760BEC2F92}">
  <dimension ref="B14:O54"/>
  <sheetViews>
    <sheetView workbookViewId="0">
      <selection activeCell="L12" sqref="L12"/>
    </sheetView>
  </sheetViews>
  <sheetFormatPr defaultRowHeight="14.5" x14ac:dyDescent="0.35"/>
  <sheetData>
    <row r="14" spans="2:7" x14ac:dyDescent="0.35">
      <c r="B14" t="s">
        <v>103</v>
      </c>
    </row>
    <row r="15" spans="2:7" x14ac:dyDescent="0.35">
      <c r="B15" t="s">
        <v>64</v>
      </c>
    </row>
    <row r="16" spans="2:7" x14ac:dyDescent="0.35">
      <c r="B16" s="33"/>
      <c r="C16" s="33" t="s">
        <v>65</v>
      </c>
      <c r="D16" s="33" t="s">
        <v>66</v>
      </c>
      <c r="E16" s="33" t="s">
        <v>67</v>
      </c>
      <c r="F16" s="33" t="s">
        <v>68</v>
      </c>
      <c r="G16" s="33" t="s">
        <v>83</v>
      </c>
    </row>
    <row r="17" spans="2:15" x14ac:dyDescent="0.35">
      <c r="B17" s="33" t="s">
        <v>6</v>
      </c>
      <c r="C17" s="33" t="s">
        <v>69</v>
      </c>
      <c r="D17" s="33" t="s">
        <v>70</v>
      </c>
      <c r="E17" s="33" t="s">
        <v>71</v>
      </c>
      <c r="F17" s="33" t="s">
        <v>72</v>
      </c>
      <c r="G17" s="33">
        <v>5</v>
      </c>
    </row>
    <row r="18" spans="2:15" x14ac:dyDescent="0.35">
      <c r="B18" s="33" t="s">
        <v>42</v>
      </c>
      <c r="C18" s="33" t="s">
        <v>73</v>
      </c>
      <c r="D18" s="33" t="s">
        <v>74</v>
      </c>
      <c r="E18" s="33" t="s">
        <v>75</v>
      </c>
      <c r="F18" s="33" t="s">
        <v>76</v>
      </c>
      <c r="G18" s="33">
        <v>2</v>
      </c>
    </row>
    <row r="19" spans="2:15" x14ac:dyDescent="0.35">
      <c r="B19" s="33" t="s">
        <v>43</v>
      </c>
      <c r="C19" s="33" t="s">
        <v>77</v>
      </c>
      <c r="D19" s="33" t="s">
        <v>78</v>
      </c>
      <c r="E19" s="33" t="s">
        <v>79</v>
      </c>
      <c r="F19" s="33" t="s">
        <v>80</v>
      </c>
      <c r="G19" s="33">
        <v>3</v>
      </c>
    </row>
    <row r="20" spans="2:15" x14ac:dyDescent="0.35">
      <c r="B20" s="33" t="s">
        <v>87</v>
      </c>
      <c r="C20" s="33">
        <v>3</v>
      </c>
      <c r="D20" s="33">
        <v>3</v>
      </c>
      <c r="E20" s="33">
        <v>2</v>
      </c>
      <c r="F20" s="33">
        <v>2</v>
      </c>
      <c r="G20" s="33"/>
    </row>
    <row r="22" spans="2:15" x14ac:dyDescent="0.35">
      <c r="B22" t="s">
        <v>81</v>
      </c>
      <c r="J22" t="s">
        <v>85</v>
      </c>
    </row>
    <row r="23" spans="2:15" x14ac:dyDescent="0.35">
      <c r="B23" t="s">
        <v>82</v>
      </c>
      <c r="J23" t="s">
        <v>86</v>
      </c>
    </row>
    <row r="24" spans="2:15" x14ac:dyDescent="0.35">
      <c r="B24" t="s">
        <v>84</v>
      </c>
      <c r="J24" t="s">
        <v>88</v>
      </c>
    </row>
    <row r="26" spans="2:15" x14ac:dyDescent="0.35">
      <c r="B26" s="33"/>
      <c r="C26" s="33" t="s">
        <v>65</v>
      </c>
      <c r="D26" s="33" t="s">
        <v>66</v>
      </c>
      <c r="E26" s="33" t="s">
        <v>67</v>
      </c>
      <c r="F26" s="33" t="s">
        <v>68</v>
      </c>
      <c r="G26" s="33" t="s">
        <v>83</v>
      </c>
      <c r="J26" s="33"/>
      <c r="K26" s="33" t="s">
        <v>65</v>
      </c>
      <c r="L26" s="33" t="s">
        <v>66</v>
      </c>
      <c r="M26" s="33" t="s">
        <v>67</v>
      </c>
      <c r="N26" s="33" t="s">
        <v>68</v>
      </c>
      <c r="O26" s="33" t="s">
        <v>83</v>
      </c>
    </row>
    <row r="27" spans="2:15" x14ac:dyDescent="0.35">
      <c r="B27" s="33" t="s">
        <v>6</v>
      </c>
      <c r="C27" s="34">
        <v>3</v>
      </c>
      <c r="D27" s="33" t="s">
        <v>70</v>
      </c>
      <c r="E27" s="33" t="s">
        <v>71</v>
      </c>
      <c r="F27" s="33" t="s">
        <v>72</v>
      </c>
      <c r="G27" s="34">
        <v>2</v>
      </c>
      <c r="J27" s="33" t="s">
        <v>6</v>
      </c>
      <c r="K27" s="35">
        <v>3</v>
      </c>
      <c r="L27" s="34">
        <v>2</v>
      </c>
      <c r="M27" s="35" t="s">
        <v>71</v>
      </c>
      <c r="N27" s="35" t="s">
        <v>72</v>
      </c>
      <c r="O27" s="34">
        <v>0</v>
      </c>
    </row>
    <row r="28" spans="2:15" x14ac:dyDescent="0.35">
      <c r="B28" s="33" t="s">
        <v>42</v>
      </c>
      <c r="C28" s="33" t="s">
        <v>73</v>
      </c>
      <c r="D28" s="33" t="s">
        <v>74</v>
      </c>
      <c r="E28" s="33" t="s">
        <v>75</v>
      </c>
      <c r="F28" s="33" t="s">
        <v>76</v>
      </c>
      <c r="G28" s="33">
        <v>2</v>
      </c>
      <c r="J28" s="33" t="s">
        <v>42</v>
      </c>
      <c r="K28" s="35" t="s">
        <v>73</v>
      </c>
      <c r="L28" s="35" t="s">
        <v>74</v>
      </c>
      <c r="M28" s="35" t="s">
        <v>75</v>
      </c>
      <c r="N28" s="35" t="s">
        <v>76</v>
      </c>
      <c r="O28" s="35">
        <v>2</v>
      </c>
    </row>
    <row r="29" spans="2:15" x14ac:dyDescent="0.35">
      <c r="B29" s="33" t="s">
        <v>43</v>
      </c>
      <c r="C29" s="33" t="s">
        <v>77</v>
      </c>
      <c r="D29" s="33" t="s">
        <v>78</v>
      </c>
      <c r="E29" s="33" t="s">
        <v>79</v>
      </c>
      <c r="F29" s="33" t="s">
        <v>80</v>
      </c>
      <c r="G29" s="33">
        <v>3</v>
      </c>
      <c r="J29" s="33" t="s">
        <v>43</v>
      </c>
      <c r="K29" s="35" t="s">
        <v>77</v>
      </c>
      <c r="L29" s="35" t="s">
        <v>78</v>
      </c>
      <c r="M29" s="35" t="s">
        <v>79</v>
      </c>
      <c r="N29" s="35" t="s">
        <v>80</v>
      </c>
      <c r="O29" s="35">
        <v>3</v>
      </c>
    </row>
    <row r="30" spans="2:15" x14ac:dyDescent="0.35">
      <c r="B30" s="33" t="s">
        <v>87</v>
      </c>
      <c r="C30" s="34">
        <v>0</v>
      </c>
      <c r="D30" s="33">
        <v>3</v>
      </c>
      <c r="E30" s="33">
        <v>2</v>
      </c>
      <c r="F30" s="33">
        <v>2</v>
      </c>
      <c r="G30" s="33"/>
      <c r="J30" s="33" t="s">
        <v>87</v>
      </c>
      <c r="K30" s="35">
        <v>0</v>
      </c>
      <c r="L30" s="34">
        <v>1</v>
      </c>
      <c r="M30" s="35">
        <v>2</v>
      </c>
      <c r="N30" s="35">
        <v>2</v>
      </c>
      <c r="O30" s="35"/>
    </row>
    <row r="32" spans="2:15" x14ac:dyDescent="0.35">
      <c r="B32" s="41" t="s">
        <v>90</v>
      </c>
      <c r="J32" s="41" t="s">
        <v>91</v>
      </c>
    </row>
    <row r="33" spans="2:15" x14ac:dyDescent="0.35">
      <c r="B33" s="35"/>
      <c r="C33" s="35" t="s">
        <v>65</v>
      </c>
      <c r="D33" s="35" t="s">
        <v>66</v>
      </c>
      <c r="E33" s="35" t="s">
        <v>67</v>
      </c>
      <c r="F33" s="35" t="s">
        <v>68</v>
      </c>
      <c r="G33" s="35" t="s">
        <v>83</v>
      </c>
      <c r="J33" s="35"/>
      <c r="K33" s="35" t="s">
        <v>65</v>
      </c>
      <c r="L33" s="35" t="s">
        <v>66</v>
      </c>
      <c r="M33" s="35" t="s">
        <v>67</v>
      </c>
      <c r="N33" s="35" t="s">
        <v>68</v>
      </c>
      <c r="O33" s="35" t="s">
        <v>83</v>
      </c>
    </row>
    <row r="34" spans="2:15" x14ac:dyDescent="0.35">
      <c r="B34" s="35" t="s">
        <v>6</v>
      </c>
      <c r="C34" s="35">
        <v>3</v>
      </c>
      <c r="D34" s="35">
        <v>2</v>
      </c>
      <c r="E34" s="35" t="s">
        <v>71</v>
      </c>
      <c r="F34" s="35" t="s">
        <v>72</v>
      </c>
      <c r="G34" s="35">
        <v>0</v>
      </c>
      <c r="J34" s="35" t="s">
        <v>6</v>
      </c>
      <c r="K34" s="35">
        <v>3</v>
      </c>
      <c r="L34" s="35">
        <v>2</v>
      </c>
      <c r="M34" s="35" t="s">
        <v>71</v>
      </c>
      <c r="N34" s="35" t="s">
        <v>72</v>
      </c>
      <c r="O34" s="35">
        <v>0</v>
      </c>
    </row>
    <row r="35" spans="2:15" x14ac:dyDescent="0.35">
      <c r="B35" s="35" t="s">
        <v>42</v>
      </c>
      <c r="C35" s="35" t="s">
        <v>73</v>
      </c>
      <c r="D35" s="34">
        <v>1</v>
      </c>
      <c r="E35" s="35" t="s">
        <v>75</v>
      </c>
      <c r="F35" s="35" t="s">
        <v>76</v>
      </c>
      <c r="G35" s="34">
        <v>1</v>
      </c>
      <c r="J35" s="35" t="s">
        <v>42</v>
      </c>
      <c r="K35" s="35" t="s">
        <v>73</v>
      </c>
      <c r="L35" s="35">
        <v>1</v>
      </c>
      <c r="M35" s="34">
        <v>1</v>
      </c>
      <c r="N35" s="35" t="s">
        <v>76</v>
      </c>
      <c r="O35" s="34">
        <v>0</v>
      </c>
    </row>
    <row r="36" spans="2:15" x14ac:dyDescent="0.35">
      <c r="B36" s="35" t="s">
        <v>43</v>
      </c>
      <c r="C36" s="35" t="s">
        <v>77</v>
      </c>
      <c r="D36" s="35" t="s">
        <v>78</v>
      </c>
      <c r="E36" s="35" t="s">
        <v>79</v>
      </c>
      <c r="F36" s="35" t="s">
        <v>80</v>
      </c>
      <c r="G36" s="35">
        <v>3</v>
      </c>
      <c r="J36" s="35" t="s">
        <v>43</v>
      </c>
      <c r="K36" s="35" t="s">
        <v>77</v>
      </c>
      <c r="L36" s="35" t="s">
        <v>78</v>
      </c>
      <c r="M36" s="35" t="s">
        <v>79</v>
      </c>
      <c r="N36" s="35" t="s">
        <v>80</v>
      </c>
      <c r="O36" s="35">
        <v>3</v>
      </c>
    </row>
    <row r="37" spans="2:15" x14ac:dyDescent="0.35">
      <c r="B37" s="35" t="s">
        <v>87</v>
      </c>
      <c r="C37" s="35">
        <v>0</v>
      </c>
      <c r="D37" s="34">
        <v>0</v>
      </c>
      <c r="E37" s="35">
        <v>2</v>
      </c>
      <c r="F37" s="35">
        <v>2</v>
      </c>
      <c r="G37" s="35"/>
      <c r="J37" s="35" t="s">
        <v>87</v>
      </c>
      <c r="K37" s="35">
        <v>0</v>
      </c>
      <c r="L37" s="35">
        <v>0</v>
      </c>
      <c r="M37" s="34">
        <v>1</v>
      </c>
      <c r="N37" s="35">
        <v>2</v>
      </c>
      <c r="O37" s="35"/>
    </row>
    <row r="39" spans="2:15" x14ac:dyDescent="0.35">
      <c r="B39" s="41" t="s">
        <v>92</v>
      </c>
      <c r="J39" s="41" t="s">
        <v>93</v>
      </c>
    </row>
    <row r="40" spans="2:15" x14ac:dyDescent="0.35">
      <c r="B40" s="35"/>
      <c r="C40" s="35" t="s">
        <v>65</v>
      </c>
      <c r="D40" s="35" t="s">
        <v>66</v>
      </c>
      <c r="E40" s="35" t="s">
        <v>67</v>
      </c>
      <c r="F40" s="35" t="s">
        <v>68</v>
      </c>
      <c r="G40" s="35" t="s">
        <v>83</v>
      </c>
      <c r="J40" s="35"/>
      <c r="K40" s="35" t="s">
        <v>65</v>
      </c>
      <c r="L40" s="35" t="s">
        <v>66</v>
      </c>
      <c r="M40" s="35" t="s">
        <v>67</v>
      </c>
      <c r="N40" s="35" t="s">
        <v>68</v>
      </c>
      <c r="O40" s="35" t="s">
        <v>83</v>
      </c>
    </row>
    <row r="41" spans="2:15" x14ac:dyDescent="0.35">
      <c r="B41" s="35" t="s">
        <v>6</v>
      </c>
      <c r="C41" s="35">
        <v>3</v>
      </c>
      <c r="D41" s="35">
        <v>2</v>
      </c>
      <c r="E41" s="35" t="s">
        <v>71</v>
      </c>
      <c r="F41" s="35" t="s">
        <v>72</v>
      </c>
      <c r="G41" s="35">
        <v>0</v>
      </c>
      <c r="J41" s="35" t="s">
        <v>6</v>
      </c>
      <c r="K41" s="35">
        <v>3</v>
      </c>
      <c r="L41" s="35">
        <v>2</v>
      </c>
      <c r="M41" s="35" t="s">
        <v>71</v>
      </c>
      <c r="N41" s="35" t="s">
        <v>72</v>
      </c>
      <c r="O41" s="35">
        <v>0</v>
      </c>
    </row>
    <row r="42" spans="2:15" x14ac:dyDescent="0.35">
      <c r="B42" s="35" t="s">
        <v>42</v>
      </c>
      <c r="C42" s="35" t="s">
        <v>73</v>
      </c>
      <c r="D42" s="35">
        <v>1</v>
      </c>
      <c r="E42" s="35">
        <v>1</v>
      </c>
      <c r="F42" s="35" t="s">
        <v>76</v>
      </c>
      <c r="G42" s="35">
        <v>0</v>
      </c>
      <c r="J42" s="35" t="s">
        <v>42</v>
      </c>
      <c r="K42" s="35" t="s">
        <v>73</v>
      </c>
      <c r="L42" s="35">
        <v>1</v>
      </c>
      <c r="M42" s="35">
        <v>1</v>
      </c>
      <c r="N42" s="35" t="s">
        <v>76</v>
      </c>
      <c r="O42" s="35">
        <v>0</v>
      </c>
    </row>
    <row r="43" spans="2:15" x14ac:dyDescent="0.35">
      <c r="B43" s="35" t="s">
        <v>43</v>
      </c>
      <c r="C43" s="35" t="s">
        <v>77</v>
      </c>
      <c r="D43" s="35" t="s">
        <v>78</v>
      </c>
      <c r="E43" s="34">
        <v>1</v>
      </c>
      <c r="F43" s="35" t="s">
        <v>80</v>
      </c>
      <c r="G43" s="34">
        <v>2</v>
      </c>
      <c r="J43" s="35" t="s">
        <v>43</v>
      </c>
      <c r="K43" s="35" t="s">
        <v>77</v>
      </c>
      <c r="L43" s="35" t="s">
        <v>78</v>
      </c>
      <c r="M43" s="35">
        <v>1</v>
      </c>
      <c r="N43" s="34">
        <v>2</v>
      </c>
      <c r="O43" s="34">
        <v>0</v>
      </c>
    </row>
    <row r="44" spans="2:15" x14ac:dyDescent="0.35">
      <c r="B44" s="35" t="s">
        <v>87</v>
      </c>
      <c r="C44" s="35">
        <v>0</v>
      </c>
      <c r="D44" s="35">
        <v>0</v>
      </c>
      <c r="E44" s="34">
        <v>0</v>
      </c>
      <c r="F44" s="35">
        <v>2</v>
      </c>
      <c r="G44" s="35"/>
      <c r="J44" s="35" t="s">
        <v>87</v>
      </c>
      <c r="K44" s="35">
        <v>0</v>
      </c>
      <c r="L44" s="35">
        <v>0</v>
      </c>
      <c r="M44" s="35">
        <v>0</v>
      </c>
      <c r="N44" s="34">
        <v>0</v>
      </c>
      <c r="O44" s="35"/>
    </row>
    <row r="46" spans="2:15" x14ac:dyDescent="0.35">
      <c r="B46" s="43" t="s">
        <v>94</v>
      </c>
    </row>
    <row r="47" spans="2:15" x14ac:dyDescent="0.35">
      <c r="B47" s="43" t="s">
        <v>95</v>
      </c>
    </row>
    <row r="48" spans="2:15" x14ac:dyDescent="0.35">
      <c r="B48" s="26" t="s">
        <v>96</v>
      </c>
    </row>
    <row r="49" spans="2:3" x14ac:dyDescent="0.35">
      <c r="B49" t="s">
        <v>97</v>
      </c>
      <c r="C49">
        <v>3</v>
      </c>
    </row>
    <row r="50" spans="2:3" x14ac:dyDescent="0.35">
      <c r="B50" t="s">
        <v>98</v>
      </c>
      <c r="C50">
        <v>2</v>
      </c>
    </row>
    <row r="51" spans="2:3" x14ac:dyDescent="0.35">
      <c r="B51" t="s">
        <v>99</v>
      </c>
      <c r="C51">
        <v>1</v>
      </c>
    </row>
    <row r="52" spans="2:3" x14ac:dyDescent="0.35">
      <c r="B52" t="s">
        <v>100</v>
      </c>
      <c r="C52">
        <v>1</v>
      </c>
    </row>
    <row r="53" spans="2:3" x14ac:dyDescent="0.35">
      <c r="B53" t="s">
        <v>101</v>
      </c>
      <c r="C53">
        <v>1</v>
      </c>
    </row>
    <row r="54" spans="2:3" x14ac:dyDescent="0.35">
      <c r="B54" t="s">
        <v>102</v>
      </c>
      <c r="C54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64C8-B3AF-4F05-A02D-82A76F5274C0}">
  <dimension ref="A6:M48"/>
  <sheetViews>
    <sheetView workbookViewId="0">
      <selection activeCell="J8" sqref="J8:M10"/>
    </sheetView>
  </sheetViews>
  <sheetFormatPr defaultRowHeight="14.5" x14ac:dyDescent="0.35"/>
  <sheetData>
    <row r="6" spans="2:13" ht="15" thickBot="1" x14ac:dyDescent="0.4">
      <c r="B6" t="s">
        <v>106</v>
      </c>
    </row>
    <row r="7" spans="2:13" ht="15" thickBot="1" x14ac:dyDescent="0.4">
      <c r="B7" s="78" t="s">
        <v>104</v>
      </c>
      <c r="C7" s="79">
        <v>1</v>
      </c>
      <c r="D7" s="69">
        <v>2</v>
      </c>
      <c r="E7" s="69">
        <v>3</v>
      </c>
      <c r="F7" s="77">
        <v>4</v>
      </c>
      <c r="G7" s="78" t="s">
        <v>83</v>
      </c>
    </row>
    <row r="8" spans="2:13" x14ac:dyDescent="0.35">
      <c r="B8" s="76">
        <v>1</v>
      </c>
      <c r="C8" s="54"/>
      <c r="D8" s="47"/>
      <c r="E8" s="47"/>
      <c r="F8" s="56"/>
      <c r="G8" s="71">
        <v>5</v>
      </c>
      <c r="J8" s="35">
        <v>3</v>
      </c>
      <c r="K8" s="35">
        <v>7</v>
      </c>
      <c r="L8" s="35">
        <v>6</v>
      </c>
      <c r="M8" s="35">
        <v>4</v>
      </c>
    </row>
    <row r="9" spans="2:13" x14ac:dyDescent="0.35">
      <c r="B9" s="72">
        <v>2</v>
      </c>
      <c r="C9" s="45"/>
      <c r="D9" s="33"/>
      <c r="E9" s="33"/>
      <c r="F9" s="44"/>
      <c r="G9" s="72">
        <v>2</v>
      </c>
      <c r="J9" s="35">
        <v>2</v>
      </c>
      <c r="K9" s="35">
        <v>4</v>
      </c>
      <c r="L9" s="35">
        <v>3</v>
      </c>
      <c r="M9" s="35">
        <v>2</v>
      </c>
    </row>
    <row r="10" spans="2:13" ht="15" thickBot="1" x14ac:dyDescent="0.4">
      <c r="B10" s="73">
        <v>3</v>
      </c>
      <c r="C10" s="80"/>
      <c r="D10" s="48"/>
      <c r="E10" s="48"/>
      <c r="F10" s="53"/>
      <c r="G10" s="73">
        <v>3</v>
      </c>
      <c r="J10" s="35">
        <v>4</v>
      </c>
      <c r="K10" s="35">
        <v>3</v>
      </c>
      <c r="L10" s="35">
        <v>8</v>
      </c>
      <c r="M10" s="35">
        <v>5</v>
      </c>
    </row>
    <row r="11" spans="2:13" ht="15" thickBot="1" x14ac:dyDescent="0.4">
      <c r="B11" s="82" t="s">
        <v>87</v>
      </c>
      <c r="C11" s="81">
        <v>3</v>
      </c>
      <c r="D11" s="74">
        <v>3</v>
      </c>
      <c r="E11" s="74">
        <v>2</v>
      </c>
      <c r="F11" s="75">
        <v>2</v>
      </c>
      <c r="G11" s="82"/>
    </row>
    <row r="13" spans="2:13" x14ac:dyDescent="0.35">
      <c r="B13" t="s">
        <v>105</v>
      </c>
    </row>
    <row r="14" spans="2:13" x14ac:dyDescent="0.35">
      <c r="B14" t="s">
        <v>109</v>
      </c>
    </row>
    <row r="15" spans="2:13" x14ac:dyDescent="0.35">
      <c r="B15" t="s">
        <v>110</v>
      </c>
    </row>
    <row r="16" spans="2:13" ht="15" thickBot="1" x14ac:dyDescent="0.4"/>
    <row r="17" spans="1:13" ht="15" thickBot="1" x14ac:dyDescent="0.4">
      <c r="B17" s="78" t="s">
        <v>104</v>
      </c>
      <c r="C17" s="79">
        <v>1</v>
      </c>
      <c r="D17" s="69">
        <v>2</v>
      </c>
      <c r="E17" s="69">
        <v>3</v>
      </c>
      <c r="F17" s="77">
        <v>4</v>
      </c>
      <c r="G17" s="67" t="s">
        <v>83</v>
      </c>
      <c r="H17" s="84" t="s">
        <v>107</v>
      </c>
    </row>
    <row r="18" spans="1:13" x14ac:dyDescent="0.35">
      <c r="B18" s="76">
        <v>1</v>
      </c>
      <c r="C18" s="54"/>
      <c r="D18" s="47"/>
      <c r="E18" s="47"/>
      <c r="F18" s="56"/>
      <c r="G18" s="61">
        <v>5</v>
      </c>
      <c r="H18" s="71">
        <v>1</v>
      </c>
      <c r="J18" s="35">
        <v>3</v>
      </c>
      <c r="K18" s="35">
        <v>7</v>
      </c>
      <c r="L18" s="35">
        <v>6</v>
      </c>
      <c r="M18" s="35">
        <v>4</v>
      </c>
    </row>
    <row r="19" spans="1:13" x14ac:dyDescent="0.35">
      <c r="B19" s="72">
        <v>2</v>
      </c>
      <c r="C19" s="45"/>
      <c r="D19" s="33"/>
      <c r="E19" s="34">
        <v>2</v>
      </c>
      <c r="F19" s="44"/>
      <c r="G19" s="62">
        <v>2</v>
      </c>
      <c r="H19" s="72">
        <v>0</v>
      </c>
      <c r="J19" s="35">
        <v>2</v>
      </c>
      <c r="K19" s="35">
        <v>4</v>
      </c>
      <c r="L19" s="34">
        <v>3</v>
      </c>
      <c r="M19" s="35">
        <v>2</v>
      </c>
    </row>
    <row r="20" spans="1:13" ht="15" thickBot="1" x14ac:dyDescent="0.4">
      <c r="B20" s="73">
        <v>3</v>
      </c>
      <c r="C20" s="55"/>
      <c r="D20" s="46"/>
      <c r="E20" s="46"/>
      <c r="F20" s="52"/>
      <c r="G20" s="63">
        <v>3</v>
      </c>
      <c r="H20" s="73">
        <v>1</v>
      </c>
      <c r="J20" s="35">
        <v>4</v>
      </c>
      <c r="K20" s="35">
        <v>3</v>
      </c>
      <c r="L20" s="35">
        <v>8</v>
      </c>
      <c r="M20" s="35">
        <v>5</v>
      </c>
    </row>
    <row r="21" spans="1:13" ht="15" thickBot="1" x14ac:dyDescent="0.4">
      <c r="B21" s="85" t="s">
        <v>87</v>
      </c>
      <c r="C21" s="64">
        <v>3</v>
      </c>
      <c r="D21" s="65">
        <v>3</v>
      </c>
      <c r="E21" s="65">
        <v>2</v>
      </c>
      <c r="F21" s="66">
        <v>2</v>
      </c>
      <c r="G21" s="49"/>
      <c r="H21" s="40"/>
    </row>
    <row r="22" spans="1:13" ht="15" thickBot="1" x14ac:dyDescent="0.4">
      <c r="B22" s="83" t="s">
        <v>108</v>
      </c>
      <c r="C22" s="68">
        <v>1</v>
      </c>
      <c r="D22" s="69">
        <v>1</v>
      </c>
      <c r="E22" s="86">
        <v>3</v>
      </c>
      <c r="F22" s="70">
        <v>2</v>
      </c>
      <c r="G22" s="40"/>
      <c r="H22" s="40"/>
    </row>
    <row r="24" spans="1:13" x14ac:dyDescent="0.35">
      <c r="B24" t="s">
        <v>111</v>
      </c>
    </row>
    <row r="25" spans="1:13" ht="15" thickBot="1" x14ac:dyDescent="0.4"/>
    <row r="26" spans="1:13" ht="15" thickBot="1" x14ac:dyDescent="0.4">
      <c r="A26" s="50"/>
      <c r="B26" s="87" t="s">
        <v>104</v>
      </c>
      <c r="C26" s="88">
        <v>1</v>
      </c>
      <c r="D26" s="89">
        <v>2</v>
      </c>
      <c r="E26" s="89">
        <v>3</v>
      </c>
      <c r="F26" s="90">
        <v>4</v>
      </c>
      <c r="G26" s="91" t="s">
        <v>83</v>
      </c>
      <c r="H26" s="92" t="s">
        <v>107</v>
      </c>
      <c r="I26" s="50"/>
      <c r="J26" s="50"/>
      <c r="K26" s="50"/>
      <c r="L26" s="50"/>
      <c r="M26" s="50"/>
    </row>
    <row r="27" spans="1:13" x14ac:dyDescent="0.35">
      <c r="A27" s="50"/>
      <c r="B27" s="103">
        <v>1</v>
      </c>
      <c r="C27" s="104"/>
      <c r="D27" s="105"/>
      <c r="E27" s="105"/>
      <c r="F27" s="106"/>
      <c r="G27" s="107">
        <v>5</v>
      </c>
      <c r="H27" s="108">
        <v>1</v>
      </c>
      <c r="I27" s="50"/>
      <c r="J27" s="35">
        <v>3</v>
      </c>
      <c r="K27" s="35">
        <v>7</v>
      </c>
      <c r="L27" s="35">
        <v>6</v>
      </c>
      <c r="M27" s="35">
        <v>4</v>
      </c>
    </row>
    <row r="28" spans="1:13" ht="15" thickBot="1" x14ac:dyDescent="0.4">
      <c r="A28" s="50"/>
      <c r="B28" s="93">
        <v>3</v>
      </c>
      <c r="C28" s="94"/>
      <c r="D28" s="109">
        <v>3</v>
      </c>
      <c r="E28" s="59"/>
      <c r="F28" s="60"/>
      <c r="G28" s="95">
        <v>3</v>
      </c>
      <c r="H28" s="93">
        <v>1</v>
      </c>
      <c r="I28" s="50"/>
      <c r="J28" s="35">
        <v>4</v>
      </c>
      <c r="K28" s="34">
        <v>3</v>
      </c>
      <c r="L28" s="35">
        <v>8</v>
      </c>
      <c r="M28" s="35">
        <v>5</v>
      </c>
    </row>
    <row r="29" spans="1:13" ht="15" thickBot="1" x14ac:dyDescent="0.4">
      <c r="A29" s="50"/>
      <c r="B29" s="96" t="s">
        <v>87</v>
      </c>
      <c r="C29" s="97">
        <v>3</v>
      </c>
      <c r="D29" s="98">
        <v>3</v>
      </c>
      <c r="E29" s="98">
        <v>0</v>
      </c>
      <c r="F29" s="99">
        <v>2</v>
      </c>
      <c r="G29" s="42"/>
      <c r="H29" s="51"/>
      <c r="I29" s="50"/>
      <c r="J29" s="50"/>
      <c r="K29" s="50"/>
      <c r="L29" s="50"/>
      <c r="M29" s="50"/>
    </row>
    <row r="30" spans="1:13" ht="15" thickBot="1" x14ac:dyDescent="0.4">
      <c r="A30" s="50"/>
      <c r="B30" s="100" t="s">
        <v>108</v>
      </c>
      <c r="C30" s="101">
        <v>1</v>
      </c>
      <c r="D30" s="86">
        <v>4</v>
      </c>
      <c r="E30" s="89">
        <v>2</v>
      </c>
      <c r="F30" s="102">
        <v>1</v>
      </c>
      <c r="G30" s="51"/>
      <c r="H30" s="51"/>
      <c r="I30" s="50"/>
      <c r="J30" s="50"/>
      <c r="K30" s="50"/>
      <c r="L30" s="50"/>
      <c r="M30" s="50"/>
    </row>
    <row r="32" spans="1:13" ht="15" thickBot="1" x14ac:dyDescent="0.4">
      <c r="A32" s="50"/>
      <c r="B32" s="50" t="s">
        <v>112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</row>
    <row r="33" spans="2:13" ht="15" thickBot="1" x14ac:dyDescent="0.4">
      <c r="B33" s="87" t="s">
        <v>104</v>
      </c>
      <c r="C33" s="88">
        <v>1</v>
      </c>
      <c r="D33" s="89">
        <v>2</v>
      </c>
      <c r="E33" s="89">
        <v>3</v>
      </c>
      <c r="F33" s="90">
        <v>4</v>
      </c>
      <c r="G33" s="91" t="s">
        <v>83</v>
      </c>
      <c r="H33" s="92" t="s">
        <v>107</v>
      </c>
      <c r="I33" s="50"/>
      <c r="J33" s="50"/>
      <c r="K33" s="50"/>
      <c r="L33" s="50"/>
      <c r="M33" s="50"/>
    </row>
    <row r="34" spans="2:13" ht="15" thickBot="1" x14ac:dyDescent="0.4">
      <c r="B34" s="110">
        <v>1</v>
      </c>
      <c r="C34" s="104">
        <v>3</v>
      </c>
      <c r="D34" s="105">
        <v>0</v>
      </c>
      <c r="E34" s="105">
        <v>0</v>
      </c>
      <c r="F34" s="106">
        <v>2</v>
      </c>
      <c r="G34" s="100">
        <v>5</v>
      </c>
      <c r="H34" s="87">
        <v>1</v>
      </c>
      <c r="I34" s="50"/>
      <c r="J34" s="35">
        <v>3</v>
      </c>
      <c r="K34" s="35">
        <v>7</v>
      </c>
      <c r="L34" s="35">
        <v>6</v>
      </c>
      <c r="M34" s="35">
        <v>4</v>
      </c>
    </row>
    <row r="35" spans="2:13" ht="15" thickBot="1" x14ac:dyDescent="0.4">
      <c r="B35" s="87" t="s">
        <v>87</v>
      </c>
      <c r="C35" s="97">
        <v>3</v>
      </c>
      <c r="D35" s="98">
        <v>0</v>
      </c>
      <c r="E35" s="98">
        <v>0</v>
      </c>
      <c r="F35" s="99">
        <v>2</v>
      </c>
      <c r="G35" s="42"/>
      <c r="H35" s="51"/>
      <c r="I35" s="50"/>
      <c r="J35" s="50"/>
      <c r="K35" s="50"/>
      <c r="L35" s="50"/>
      <c r="M35" s="50"/>
    </row>
    <row r="36" spans="2:13" ht="15" thickBot="1" x14ac:dyDescent="0.4">
      <c r="B36" s="100" t="s">
        <v>108</v>
      </c>
      <c r="C36" s="101">
        <v>1</v>
      </c>
      <c r="D36" s="89">
        <v>4</v>
      </c>
      <c r="E36" s="89">
        <v>2</v>
      </c>
      <c r="F36" s="102">
        <v>1</v>
      </c>
      <c r="G36" s="51"/>
      <c r="H36" s="51"/>
      <c r="I36" s="50"/>
      <c r="J36" s="50"/>
      <c r="K36" s="50"/>
      <c r="L36" s="50"/>
      <c r="M36" s="50"/>
    </row>
    <row r="39" spans="2:13" x14ac:dyDescent="0.35">
      <c r="C39" t="s">
        <v>113</v>
      </c>
    </row>
    <row r="40" spans="2:13" x14ac:dyDescent="0.35">
      <c r="C40" t="s">
        <v>75</v>
      </c>
      <c r="D40">
        <v>2</v>
      </c>
    </row>
    <row r="41" spans="2:13" x14ac:dyDescent="0.35">
      <c r="C41" t="s">
        <v>78</v>
      </c>
      <c r="D41">
        <v>3</v>
      </c>
    </row>
    <row r="42" spans="2:13" x14ac:dyDescent="0.35">
      <c r="C42" t="s">
        <v>69</v>
      </c>
      <c r="D42">
        <v>3</v>
      </c>
    </row>
    <row r="43" spans="2:13" x14ac:dyDescent="0.35">
      <c r="C43" t="s">
        <v>70</v>
      </c>
      <c r="D43">
        <v>0</v>
      </c>
    </row>
    <row r="44" spans="2:13" x14ac:dyDescent="0.35">
      <c r="C44" t="s">
        <v>71</v>
      </c>
      <c r="D44">
        <v>0</v>
      </c>
    </row>
    <row r="45" spans="2:13" x14ac:dyDescent="0.35">
      <c r="C45" t="s">
        <v>72</v>
      </c>
      <c r="D45">
        <v>2</v>
      </c>
    </row>
    <row r="46" spans="2:13" x14ac:dyDescent="0.35">
      <c r="C46" t="s">
        <v>114</v>
      </c>
    </row>
    <row r="47" spans="2:13" x14ac:dyDescent="0.35">
      <c r="C47" t="s">
        <v>115</v>
      </c>
    </row>
    <row r="48" spans="2:13" x14ac:dyDescent="0.35">
      <c r="C48">
        <f>L19*E19+K28*D28+J34*C34+K34*D34+E34*L34+M34*F34</f>
        <v>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01E6-D3FF-458D-845E-29B88F04A407}">
  <dimension ref="B9:M54"/>
  <sheetViews>
    <sheetView tabSelected="1" workbookViewId="0">
      <selection activeCell="B9" sqref="B9:M54"/>
    </sheetView>
  </sheetViews>
  <sheetFormatPr defaultRowHeight="14.5" x14ac:dyDescent="0.35"/>
  <sheetData>
    <row r="9" spans="2:13" x14ac:dyDescent="0.35">
      <c r="B9" t="s">
        <v>116</v>
      </c>
    </row>
    <row r="10" spans="2:13" ht="15" thickBot="1" x14ac:dyDescent="0.4"/>
    <row r="11" spans="2:13" ht="15" thickBot="1" x14ac:dyDescent="0.4">
      <c r="B11" s="78" t="s">
        <v>104</v>
      </c>
      <c r="C11" s="79">
        <v>1</v>
      </c>
      <c r="D11" s="69">
        <v>2</v>
      </c>
      <c r="E11" s="69">
        <v>3</v>
      </c>
      <c r="F11" s="77">
        <v>4</v>
      </c>
      <c r="G11" s="78" t="s">
        <v>83</v>
      </c>
    </row>
    <row r="12" spans="2:13" x14ac:dyDescent="0.35">
      <c r="B12" s="76">
        <v>1</v>
      </c>
      <c r="C12" s="54"/>
      <c r="D12" s="47"/>
      <c r="E12" s="47"/>
      <c r="F12" s="56"/>
      <c r="G12" s="71">
        <v>5</v>
      </c>
      <c r="J12" s="35">
        <v>3</v>
      </c>
      <c r="K12" s="35">
        <v>7</v>
      </c>
      <c r="L12" s="35">
        <v>6</v>
      </c>
      <c r="M12" s="35">
        <v>4</v>
      </c>
    </row>
    <row r="13" spans="2:13" x14ac:dyDescent="0.35">
      <c r="B13" s="72">
        <v>2</v>
      </c>
      <c r="C13" s="45"/>
      <c r="D13" s="33"/>
      <c r="E13" s="33"/>
      <c r="F13" s="44"/>
      <c r="G13" s="72">
        <v>2</v>
      </c>
      <c r="J13" s="35">
        <v>2</v>
      </c>
      <c r="K13" s="35">
        <v>4</v>
      </c>
      <c r="L13" s="35">
        <v>3</v>
      </c>
      <c r="M13" s="35">
        <v>2</v>
      </c>
    </row>
    <row r="14" spans="2:13" ht="15" thickBot="1" x14ac:dyDescent="0.4">
      <c r="B14" s="73">
        <v>3</v>
      </c>
      <c r="C14" s="80"/>
      <c r="D14" s="48"/>
      <c r="E14" s="48"/>
      <c r="F14" s="53"/>
      <c r="G14" s="73">
        <v>3</v>
      </c>
      <c r="J14" s="35">
        <v>4</v>
      </c>
      <c r="K14" s="35">
        <v>3</v>
      </c>
      <c r="L14" s="35">
        <v>8</v>
      </c>
      <c r="M14" s="35">
        <v>5</v>
      </c>
    </row>
    <row r="15" spans="2:13" ht="15" thickBot="1" x14ac:dyDescent="0.4">
      <c r="B15" s="82" t="s">
        <v>87</v>
      </c>
      <c r="C15" s="81">
        <v>3</v>
      </c>
      <c r="D15" s="74">
        <v>3</v>
      </c>
      <c r="E15" s="74">
        <v>2</v>
      </c>
      <c r="F15" s="75">
        <v>2</v>
      </c>
      <c r="G15" s="82"/>
    </row>
    <row r="17" spans="2:13" x14ac:dyDescent="0.35">
      <c r="B17" t="s">
        <v>117</v>
      </c>
    </row>
    <row r="18" spans="2:13" x14ac:dyDescent="0.35">
      <c r="B18" t="s">
        <v>118</v>
      </c>
    </row>
    <row r="19" spans="2:13" ht="15" thickBot="1" x14ac:dyDescent="0.4">
      <c r="B19" t="s">
        <v>119</v>
      </c>
    </row>
    <row r="20" spans="2:13" ht="15" thickBot="1" x14ac:dyDescent="0.4">
      <c r="B20" s="78" t="s">
        <v>104</v>
      </c>
      <c r="C20" s="112">
        <v>1</v>
      </c>
      <c r="D20" s="69">
        <v>2</v>
      </c>
      <c r="E20" s="69">
        <v>3</v>
      </c>
      <c r="F20" s="77">
        <v>4</v>
      </c>
      <c r="G20" s="78" t="s">
        <v>83</v>
      </c>
    </row>
    <row r="21" spans="2:13" x14ac:dyDescent="0.35">
      <c r="B21" s="76">
        <v>1</v>
      </c>
      <c r="C21" s="54"/>
      <c r="D21" s="47"/>
      <c r="E21" s="47"/>
      <c r="F21" s="56"/>
      <c r="G21" s="71">
        <v>5</v>
      </c>
      <c r="J21" s="35">
        <v>3</v>
      </c>
      <c r="K21" s="35">
        <v>7</v>
      </c>
      <c r="L21" s="35">
        <v>6</v>
      </c>
      <c r="M21" s="35">
        <v>4</v>
      </c>
    </row>
    <row r="22" spans="2:13" x14ac:dyDescent="0.35">
      <c r="B22" s="111">
        <v>2</v>
      </c>
      <c r="C22" s="57">
        <v>2</v>
      </c>
      <c r="D22" s="33"/>
      <c r="E22" s="33"/>
      <c r="F22" s="44"/>
      <c r="G22" s="111">
        <f>G13-C22</f>
        <v>0</v>
      </c>
      <c r="J22" s="34">
        <v>2</v>
      </c>
      <c r="K22" s="35">
        <v>4</v>
      </c>
      <c r="L22" s="35">
        <v>3</v>
      </c>
      <c r="M22" s="35">
        <v>2</v>
      </c>
    </row>
    <row r="23" spans="2:13" ht="15" thickBot="1" x14ac:dyDescent="0.4">
      <c r="B23" s="73">
        <v>3</v>
      </c>
      <c r="C23" s="80"/>
      <c r="D23" s="48"/>
      <c r="E23" s="48"/>
      <c r="F23" s="53"/>
      <c r="G23" s="73">
        <v>3</v>
      </c>
      <c r="J23" s="35">
        <v>4</v>
      </c>
      <c r="K23" s="35">
        <v>3</v>
      </c>
      <c r="L23" s="35">
        <v>8</v>
      </c>
      <c r="M23" s="35">
        <v>5</v>
      </c>
    </row>
    <row r="24" spans="2:13" ht="15" thickBot="1" x14ac:dyDescent="0.4">
      <c r="B24" s="82" t="s">
        <v>87</v>
      </c>
      <c r="C24" s="113">
        <f>C15-C22</f>
        <v>1</v>
      </c>
      <c r="D24" s="74">
        <v>3</v>
      </c>
      <c r="E24" s="74">
        <v>2</v>
      </c>
      <c r="F24" s="75">
        <v>2</v>
      </c>
      <c r="G24" s="82"/>
    </row>
    <row r="26" spans="2:13" x14ac:dyDescent="0.35">
      <c r="B26" t="s">
        <v>120</v>
      </c>
    </row>
    <row r="28" spans="2:13" ht="15" thickBot="1" x14ac:dyDescent="0.4"/>
    <row r="29" spans="2:13" ht="15" thickBot="1" x14ac:dyDescent="0.4">
      <c r="B29" s="78" t="s">
        <v>104</v>
      </c>
      <c r="C29" s="112">
        <v>1</v>
      </c>
      <c r="D29" s="69">
        <v>2</v>
      </c>
      <c r="E29" s="69">
        <v>3</v>
      </c>
      <c r="F29" s="70">
        <v>4</v>
      </c>
      <c r="G29" s="78" t="s">
        <v>83</v>
      </c>
    </row>
    <row r="30" spans="2:13" x14ac:dyDescent="0.35">
      <c r="B30" s="114">
        <v>1</v>
      </c>
      <c r="C30" s="115">
        <v>1</v>
      </c>
      <c r="D30" s="54"/>
      <c r="E30" s="47"/>
      <c r="F30" s="56"/>
      <c r="G30" s="114">
        <v>4</v>
      </c>
      <c r="J30" s="34">
        <v>3</v>
      </c>
      <c r="K30" s="35">
        <v>7</v>
      </c>
      <c r="L30" s="35">
        <v>6</v>
      </c>
      <c r="M30" s="35">
        <v>4</v>
      </c>
    </row>
    <row r="31" spans="2:13" ht="15" thickBot="1" x14ac:dyDescent="0.4">
      <c r="B31" s="73">
        <v>3</v>
      </c>
      <c r="C31" s="80"/>
      <c r="D31" s="48"/>
      <c r="E31" s="48"/>
      <c r="F31" s="53"/>
      <c r="G31" s="73">
        <v>3</v>
      </c>
      <c r="J31" s="35">
        <v>4</v>
      </c>
      <c r="K31" s="35">
        <v>3</v>
      </c>
      <c r="L31" s="35">
        <v>8</v>
      </c>
      <c r="M31" s="35">
        <v>5</v>
      </c>
    </row>
    <row r="32" spans="2:13" ht="15" thickBot="1" x14ac:dyDescent="0.4">
      <c r="B32" s="82" t="s">
        <v>87</v>
      </c>
      <c r="C32" s="113">
        <v>0</v>
      </c>
      <c r="D32" s="74">
        <v>3</v>
      </c>
      <c r="E32" s="74">
        <v>2</v>
      </c>
      <c r="F32" s="75">
        <v>2</v>
      </c>
      <c r="G32" s="82"/>
    </row>
    <row r="34" spans="2:13" ht="15" thickBot="1" x14ac:dyDescent="0.4">
      <c r="B34" t="s">
        <v>89</v>
      </c>
    </row>
    <row r="35" spans="2:13" ht="15" thickBot="1" x14ac:dyDescent="0.4">
      <c r="C35" s="78" t="s">
        <v>104</v>
      </c>
      <c r="D35" s="86">
        <v>2</v>
      </c>
      <c r="E35" s="69">
        <v>3</v>
      </c>
      <c r="F35" s="77">
        <v>4</v>
      </c>
      <c r="G35" s="78" t="s">
        <v>83</v>
      </c>
    </row>
    <row r="36" spans="2:13" x14ac:dyDescent="0.35">
      <c r="C36" s="103">
        <v>1</v>
      </c>
      <c r="D36" s="47"/>
      <c r="E36" s="47"/>
      <c r="F36" s="56"/>
      <c r="G36" s="108">
        <v>4</v>
      </c>
      <c r="K36" s="35">
        <v>7</v>
      </c>
      <c r="L36" s="35">
        <v>6</v>
      </c>
      <c r="M36" s="35">
        <v>4</v>
      </c>
    </row>
    <row r="37" spans="2:13" ht="15" thickBot="1" x14ac:dyDescent="0.4">
      <c r="C37" s="116">
        <v>3</v>
      </c>
      <c r="D37" s="58">
        <v>3</v>
      </c>
      <c r="E37" s="48"/>
      <c r="F37" s="53"/>
      <c r="G37" s="116">
        <v>0</v>
      </c>
      <c r="K37" s="34">
        <v>3</v>
      </c>
      <c r="L37" s="35">
        <v>8</v>
      </c>
      <c r="M37" s="35">
        <v>5</v>
      </c>
    </row>
    <row r="38" spans="2:13" ht="15" thickBot="1" x14ac:dyDescent="0.4">
      <c r="C38" s="82" t="s">
        <v>87</v>
      </c>
      <c r="D38" s="117">
        <v>0</v>
      </c>
      <c r="E38" s="74">
        <v>2</v>
      </c>
      <c r="F38" s="75">
        <v>2</v>
      </c>
      <c r="G38" s="82"/>
    </row>
    <row r="40" spans="2:13" ht="15" thickBot="1" x14ac:dyDescent="0.4">
      <c r="B40" t="s">
        <v>58</v>
      </c>
    </row>
    <row r="41" spans="2:13" ht="15" thickBot="1" x14ac:dyDescent="0.4">
      <c r="C41" s="78" t="s">
        <v>104</v>
      </c>
      <c r="D41" s="86">
        <v>2</v>
      </c>
      <c r="E41" s="69">
        <v>3</v>
      </c>
      <c r="F41" s="77">
        <v>4</v>
      </c>
      <c r="G41" s="78" t="s">
        <v>83</v>
      </c>
    </row>
    <row r="42" spans="2:13" x14ac:dyDescent="0.35">
      <c r="C42" s="103">
        <v>1</v>
      </c>
      <c r="D42" s="47">
        <v>0</v>
      </c>
      <c r="E42" s="47">
        <v>2</v>
      </c>
      <c r="F42" s="56">
        <v>2</v>
      </c>
      <c r="G42" s="108">
        <v>4</v>
      </c>
      <c r="K42" s="35">
        <v>7</v>
      </c>
      <c r="L42" s="35">
        <v>6</v>
      </c>
      <c r="M42" s="35">
        <v>4</v>
      </c>
    </row>
    <row r="43" spans="2:13" ht="15" thickBot="1" x14ac:dyDescent="0.4">
      <c r="C43" s="82" t="s">
        <v>87</v>
      </c>
      <c r="D43" s="117">
        <v>0</v>
      </c>
      <c r="E43" s="74">
        <v>2</v>
      </c>
      <c r="F43" s="75">
        <v>2</v>
      </c>
      <c r="G43" s="82"/>
    </row>
    <row r="45" spans="2:13" x14ac:dyDescent="0.35">
      <c r="B45" t="s">
        <v>121</v>
      </c>
    </row>
    <row r="47" spans="2:13" x14ac:dyDescent="0.35">
      <c r="C47" t="s">
        <v>73</v>
      </c>
      <c r="D47">
        <v>2</v>
      </c>
    </row>
    <row r="48" spans="2:13" x14ac:dyDescent="0.35">
      <c r="C48" t="s">
        <v>69</v>
      </c>
      <c r="D48">
        <v>1</v>
      </c>
    </row>
    <row r="49" spans="2:4" x14ac:dyDescent="0.35">
      <c r="C49" t="s">
        <v>78</v>
      </c>
      <c r="D49">
        <v>3</v>
      </c>
    </row>
    <row r="50" spans="2:4" x14ac:dyDescent="0.35">
      <c r="C50" t="s">
        <v>70</v>
      </c>
      <c r="D50">
        <v>0</v>
      </c>
    </row>
    <row r="51" spans="2:4" x14ac:dyDescent="0.35">
      <c r="C51" t="s">
        <v>71</v>
      </c>
      <c r="D51">
        <v>2</v>
      </c>
    </row>
    <row r="52" spans="2:4" x14ac:dyDescent="0.35">
      <c r="C52" t="s">
        <v>72</v>
      </c>
      <c r="D52">
        <v>2</v>
      </c>
    </row>
    <row r="53" spans="2:4" x14ac:dyDescent="0.35">
      <c r="B53" t="s">
        <v>122</v>
      </c>
    </row>
    <row r="54" spans="2:4" x14ac:dyDescent="0.35">
      <c r="B54">
        <f>J22*C22+C30*J30+D37*K37+D42*K42+E42*L42+F42*M42</f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Traveling Salesman</vt:lpstr>
      <vt:lpstr>Hungarian algorithm</vt:lpstr>
      <vt:lpstr>Northwest corner</vt:lpstr>
      <vt:lpstr>Vogels appoksimation</vt:lpstr>
      <vt:lpstr>Minimum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Willadsen Skov</dc:creator>
  <cp:lastModifiedBy>Adam Bjørn Mathiesen</cp:lastModifiedBy>
  <dcterms:created xsi:type="dcterms:W3CDTF">2025-11-05T09:23:18Z</dcterms:created>
  <dcterms:modified xsi:type="dcterms:W3CDTF">2026-01-30T18:28:15Z</dcterms:modified>
</cp:coreProperties>
</file>